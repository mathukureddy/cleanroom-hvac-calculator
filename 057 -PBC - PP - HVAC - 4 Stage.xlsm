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7"/>
  <workbookPr/>
  <mc:AlternateContent xmlns:mc="http://schemas.openxmlformats.org/markup-compatibility/2006">
    <mc:Choice Requires="x15">
      <x15ac:absPath xmlns:x15ac="http://schemas.microsoft.com/office/spreadsheetml/2010/11/ac" url="C:\Users\Vijay\Desktop\"/>
    </mc:Choice>
  </mc:AlternateContent>
  <xr:revisionPtr revIDLastSave="7" documentId="13_ncr:9_{970E7729-3156-4822-BCE2-BE1B29D4A74D}" xr6:coauthVersionLast="47" xr6:coauthVersionMax="47" xr10:uidLastSave="{02EE1BC2-EFD9-4B2A-9A21-894F89FF44FD}"/>
  <bookViews>
    <workbookView xWindow="-120" yWindow="-120" windowWidth="29040" windowHeight="15840" tabRatio="497" xr2:uid="{FA08A474-D1B2-4A7E-B01F-C7AFD89F9C6A}"/>
  </bookViews>
  <sheets>
    <sheet name="GMA Offer" sheetId="5" r:id="rId1"/>
    <sheet name="BOQ" sheetId="4" state="hidden" r:id="rId2"/>
    <sheet name="Chart1" sheetId="6" state="hidden" r:id="rId3"/>
  </sheets>
  <definedNames>
    <definedName name="_xlnm.Print_Area" localSheetId="0">'GMA Offer'!$C$54:$O$340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00" i="5" l="1"/>
  <c r="O300" i="5" s="1"/>
  <c r="AN189" i="5"/>
  <c r="AM189" i="5"/>
  <c r="AF189" i="5"/>
  <c r="AA189" i="5"/>
  <c r="Z189" i="5"/>
  <c r="Y189" i="5"/>
  <c r="D190" i="5" s="1"/>
  <c r="H189" i="5" s="1"/>
  <c r="X189" i="5"/>
  <c r="V189" i="5" s="1"/>
  <c r="W189" i="5"/>
  <c r="U189" i="5"/>
  <c r="T189" i="5"/>
  <c r="I189" i="5"/>
  <c r="E189" i="5"/>
  <c r="AC189" i="5" s="1"/>
  <c r="D189" i="5"/>
  <c r="AB189" i="5" s="1"/>
  <c r="AL189" i="5" s="1"/>
  <c r="AN187" i="5"/>
  <c r="AM187" i="5"/>
  <c r="AF187" i="5"/>
  <c r="AA187" i="5"/>
  <c r="Z187" i="5"/>
  <c r="Y187" i="5"/>
  <c r="D188" i="5"/>
  <c r="H187" i="5" s="1"/>
  <c r="W187" i="5"/>
  <c r="U187" i="5"/>
  <c r="T187" i="5"/>
  <c r="I187" i="5"/>
  <c r="E187" i="5"/>
  <c r="AC187" i="5" s="1"/>
  <c r="D187" i="5"/>
  <c r="G154" i="5"/>
  <c r="AN153" i="5"/>
  <c r="AM153" i="5"/>
  <c r="AF153" i="5"/>
  <c r="AA153" i="5"/>
  <c r="Z153" i="5"/>
  <c r="Y153" i="5"/>
  <c r="W153" i="5"/>
  <c r="U153" i="5"/>
  <c r="T153" i="5"/>
  <c r="I153" i="5"/>
  <c r="E153" i="5"/>
  <c r="AC153" i="5" s="1"/>
  <c r="D153" i="5"/>
  <c r="AB153" i="5" s="1"/>
  <c r="G152" i="5"/>
  <c r="AN151" i="5"/>
  <c r="AM151" i="5"/>
  <c r="AF151" i="5"/>
  <c r="AA151" i="5"/>
  <c r="Z151" i="5"/>
  <c r="Y151" i="5"/>
  <c r="D152" i="5" s="1"/>
  <c r="H151" i="5" s="1"/>
  <c r="W151" i="5"/>
  <c r="U151" i="5"/>
  <c r="T151" i="5"/>
  <c r="I151" i="5"/>
  <c r="E151" i="5"/>
  <c r="AC151" i="5" s="1"/>
  <c r="D151" i="5"/>
  <c r="AB151" i="5" s="1"/>
  <c r="D91" i="5"/>
  <c r="F189" i="5"/>
  <c r="X187" i="5"/>
  <c r="V187" i="5" s="1"/>
  <c r="AN91" i="5"/>
  <c r="AM91" i="5"/>
  <c r="AF91" i="5"/>
  <c r="AA91" i="5"/>
  <c r="Z91" i="5"/>
  <c r="Y91" i="5"/>
  <c r="X91" i="5" s="1"/>
  <c r="V91" i="5" s="1"/>
  <c r="W91" i="5"/>
  <c r="U91" i="5"/>
  <c r="T91" i="5"/>
  <c r="I91" i="5"/>
  <c r="E91" i="5"/>
  <c r="AN89" i="5"/>
  <c r="AM89" i="5"/>
  <c r="AF89" i="5"/>
  <c r="AA89" i="5"/>
  <c r="Z89" i="5"/>
  <c r="Y89" i="5"/>
  <c r="X89" i="5" s="1"/>
  <c r="V89" i="5" s="1"/>
  <c r="W89" i="5"/>
  <c r="U89" i="5"/>
  <c r="T89" i="5"/>
  <c r="I89" i="5"/>
  <c r="E89" i="5"/>
  <c r="AC89" i="5" s="1"/>
  <c r="D89" i="5"/>
  <c r="K110" i="5"/>
  <c r="E197" i="5"/>
  <c r="AC197" i="5" s="1"/>
  <c r="D197" i="5"/>
  <c r="AB197" i="5" s="1"/>
  <c r="E194" i="5"/>
  <c r="AC194" i="5" s="1"/>
  <c r="D194" i="5"/>
  <c r="AB194" i="5" s="1"/>
  <c r="AL194" i="5" s="1"/>
  <c r="E192" i="5"/>
  <c r="AC192" i="5" s="1"/>
  <c r="D192" i="5"/>
  <c r="AB192" i="5" s="1"/>
  <c r="AN194" i="5"/>
  <c r="AM194" i="5"/>
  <c r="AF194" i="5"/>
  <c r="AA194" i="5"/>
  <c r="Z194" i="5"/>
  <c r="X194" i="5" s="1"/>
  <c r="V194" i="5" s="1"/>
  <c r="H194" i="5"/>
  <c r="F194" i="5" s="1"/>
  <c r="S194" i="5" s="1"/>
  <c r="Q194" i="5" s="1"/>
  <c r="Y194" i="5"/>
  <c r="W194" i="5"/>
  <c r="U194" i="5"/>
  <c r="T194" i="5"/>
  <c r="I194" i="5"/>
  <c r="AN197" i="5"/>
  <c r="AM197" i="5"/>
  <c r="AF197" i="5"/>
  <c r="AA197" i="5"/>
  <c r="Z197" i="5"/>
  <c r="X197" i="5" s="1"/>
  <c r="V197" i="5"/>
  <c r="H197" i="5"/>
  <c r="Y197" i="5"/>
  <c r="W197" i="5"/>
  <c r="U197" i="5"/>
  <c r="T197" i="5"/>
  <c r="I197" i="5"/>
  <c r="AN192" i="5"/>
  <c r="AM192" i="5"/>
  <c r="AF192" i="5"/>
  <c r="AA192" i="5"/>
  <c r="Z192" i="5"/>
  <c r="H192" i="5"/>
  <c r="Y192" i="5"/>
  <c r="W192" i="5"/>
  <c r="U192" i="5"/>
  <c r="T192" i="5"/>
  <c r="I192" i="5"/>
  <c r="I124" i="5"/>
  <c r="AN108" i="5"/>
  <c r="AM108" i="5"/>
  <c r="AF108" i="5"/>
  <c r="AA108" i="5"/>
  <c r="Z108" i="5"/>
  <c r="Y108" i="5"/>
  <c r="X108" i="5" s="1"/>
  <c r="V108" i="5" s="1"/>
  <c r="W108" i="5"/>
  <c r="U108" i="5"/>
  <c r="T108" i="5"/>
  <c r="I108" i="5"/>
  <c r="E108" i="5"/>
  <c r="AC108" i="5" s="1"/>
  <c r="D108" i="5"/>
  <c r="AB108" i="5" s="1"/>
  <c r="AN106" i="5"/>
  <c r="AM106" i="5"/>
  <c r="AF106" i="5"/>
  <c r="AA106" i="5"/>
  <c r="Z106" i="5"/>
  <c r="Y106" i="5"/>
  <c r="X106" i="5" s="1"/>
  <c r="V106" i="5" s="1"/>
  <c r="W106" i="5"/>
  <c r="U106" i="5"/>
  <c r="T106" i="5"/>
  <c r="I106" i="5"/>
  <c r="E106" i="5"/>
  <c r="AC106" i="5" s="1"/>
  <c r="D106" i="5"/>
  <c r="AB106" i="5" s="1"/>
  <c r="X192" i="5"/>
  <c r="V192" i="5" s="1"/>
  <c r="Q126" i="5"/>
  <c r="G125" i="5"/>
  <c r="AN124" i="5"/>
  <c r="AM124" i="5"/>
  <c r="AF124" i="5"/>
  <c r="AA124" i="5"/>
  <c r="Z124" i="5"/>
  <c r="Y124" i="5"/>
  <c r="W124" i="5"/>
  <c r="U124" i="5"/>
  <c r="T124" i="5"/>
  <c r="E124" i="5"/>
  <c r="AC124" i="5" s="1"/>
  <c r="D124" i="5"/>
  <c r="AB124" i="5" s="1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7" i="5"/>
  <c r="AN183" i="5"/>
  <c r="AM183" i="5"/>
  <c r="AF183" i="5"/>
  <c r="AA183" i="5"/>
  <c r="Z183" i="5"/>
  <c r="Y183" i="5"/>
  <c r="W183" i="5"/>
  <c r="U183" i="5"/>
  <c r="T183" i="5"/>
  <c r="I183" i="5"/>
  <c r="E183" i="5"/>
  <c r="AC183" i="5" s="1"/>
  <c r="AD183" i="5" s="1"/>
  <c r="D183" i="5"/>
  <c r="AB183" i="5"/>
  <c r="AN181" i="5"/>
  <c r="AM181" i="5"/>
  <c r="AF181" i="5"/>
  <c r="AA181" i="5"/>
  <c r="Z181" i="5"/>
  <c r="X181" i="5" s="1"/>
  <c r="V181" i="5" s="1"/>
  <c r="Y181" i="5"/>
  <c r="W181" i="5"/>
  <c r="U181" i="5"/>
  <c r="T181" i="5"/>
  <c r="I181" i="5"/>
  <c r="E181" i="5"/>
  <c r="AC181" i="5" s="1"/>
  <c r="D181" i="5"/>
  <c r="AB181" i="5"/>
  <c r="AL181" i="5" s="1"/>
  <c r="AN176" i="5"/>
  <c r="AM176" i="5"/>
  <c r="AF176" i="5"/>
  <c r="AA176" i="5"/>
  <c r="Z176" i="5"/>
  <c r="Y176" i="5"/>
  <c r="W176" i="5"/>
  <c r="U176" i="5"/>
  <c r="T176" i="5"/>
  <c r="I176" i="5"/>
  <c r="E176" i="5"/>
  <c r="AC176" i="5" s="1"/>
  <c r="D176" i="5"/>
  <c r="AB176" i="5" s="1"/>
  <c r="AN174" i="5"/>
  <c r="AM174" i="5"/>
  <c r="AF174" i="5"/>
  <c r="AA174" i="5"/>
  <c r="Z174" i="5"/>
  <c r="X174" i="5" s="1"/>
  <c r="V174" i="5" s="1"/>
  <c r="Y174" i="5"/>
  <c r="W174" i="5"/>
  <c r="U174" i="5"/>
  <c r="T174" i="5"/>
  <c r="I174" i="5"/>
  <c r="E174" i="5"/>
  <c r="AC174" i="5" s="1"/>
  <c r="D174" i="5"/>
  <c r="AB174" i="5" s="1"/>
  <c r="AN146" i="5"/>
  <c r="AM146" i="5"/>
  <c r="AF146" i="5"/>
  <c r="AA146" i="5"/>
  <c r="Z146" i="5"/>
  <c r="X146" i="5" s="1"/>
  <c r="V146" i="5" s="1"/>
  <c r="Y146" i="5"/>
  <c r="W146" i="5"/>
  <c r="U146" i="5"/>
  <c r="T146" i="5"/>
  <c r="I146" i="5"/>
  <c r="E146" i="5"/>
  <c r="D146" i="5"/>
  <c r="AB146" i="5" s="1"/>
  <c r="G147" i="5"/>
  <c r="AN143" i="5"/>
  <c r="AM143" i="5"/>
  <c r="AF143" i="5"/>
  <c r="AA143" i="5"/>
  <c r="Z143" i="5"/>
  <c r="D144" i="5" s="1"/>
  <c r="H143" i="5" s="1"/>
  <c r="Y143" i="5"/>
  <c r="W143" i="5"/>
  <c r="U143" i="5"/>
  <c r="T143" i="5"/>
  <c r="I143" i="5"/>
  <c r="E143" i="5"/>
  <c r="AC143" i="5" s="1"/>
  <c r="D143" i="5"/>
  <c r="AB143" i="5" s="1"/>
  <c r="G144" i="5"/>
  <c r="AN141" i="5"/>
  <c r="AM141" i="5"/>
  <c r="AF141" i="5"/>
  <c r="AA141" i="5"/>
  <c r="Z141" i="5"/>
  <c r="Y141" i="5"/>
  <c r="W141" i="5"/>
  <c r="U141" i="5"/>
  <c r="T141" i="5"/>
  <c r="I141" i="5"/>
  <c r="E141" i="5"/>
  <c r="AC141" i="5" s="1"/>
  <c r="D141" i="5"/>
  <c r="AB141" i="5" s="1"/>
  <c r="AD141" i="5" s="1"/>
  <c r="G142" i="5"/>
  <c r="AN98" i="5"/>
  <c r="AM98" i="5"/>
  <c r="AF98" i="5"/>
  <c r="AF199" i="5" s="1"/>
  <c r="K208" i="5" s="1"/>
  <c r="AA98" i="5"/>
  <c r="Z98" i="5"/>
  <c r="Y98" i="5"/>
  <c r="D99" i="5" s="1"/>
  <c r="H98" i="5" s="1"/>
  <c r="W98" i="5"/>
  <c r="U98" i="5"/>
  <c r="T98" i="5"/>
  <c r="I98" i="5"/>
  <c r="E98" i="5"/>
  <c r="AC98" i="5" s="1"/>
  <c r="D98" i="5"/>
  <c r="AB98" i="5" s="1"/>
  <c r="AK98" i="5" s="1"/>
  <c r="AN96" i="5"/>
  <c r="AM96" i="5"/>
  <c r="AF96" i="5"/>
  <c r="AA96" i="5"/>
  <c r="Z96" i="5"/>
  <c r="Y96" i="5"/>
  <c r="D97" i="5" s="1"/>
  <c r="H96" i="5" s="1"/>
  <c r="W96" i="5"/>
  <c r="U96" i="5"/>
  <c r="T96" i="5"/>
  <c r="I96" i="5"/>
  <c r="E96" i="5"/>
  <c r="AC96" i="5" s="1"/>
  <c r="D96" i="5"/>
  <c r="AB96" i="5" s="1"/>
  <c r="AK96" i="5" s="1"/>
  <c r="N263" i="5"/>
  <c r="O263" i="5" s="1"/>
  <c r="L263" i="5"/>
  <c r="M263" i="5" s="1"/>
  <c r="N261" i="5"/>
  <c r="O261" i="5" s="1"/>
  <c r="L261" i="5"/>
  <c r="M261" i="5" s="1"/>
  <c r="N259" i="5"/>
  <c r="O259" i="5" s="1"/>
  <c r="L259" i="5"/>
  <c r="M259" i="5"/>
  <c r="AN148" i="5"/>
  <c r="AM148" i="5"/>
  <c r="AF148" i="5"/>
  <c r="AA148" i="5"/>
  <c r="Z148" i="5"/>
  <c r="X148" i="5" s="1"/>
  <c r="V148" i="5" s="1"/>
  <c r="Y148" i="5"/>
  <c r="W148" i="5"/>
  <c r="U148" i="5"/>
  <c r="T148" i="5"/>
  <c r="I148" i="5"/>
  <c r="E148" i="5"/>
  <c r="AC148" i="5" s="1"/>
  <c r="D148" i="5"/>
  <c r="AN102" i="5"/>
  <c r="AM102" i="5"/>
  <c r="AF102" i="5"/>
  <c r="AA102" i="5"/>
  <c r="Z102" i="5"/>
  <c r="D103" i="5" s="1"/>
  <c r="H102" i="5" s="1"/>
  <c r="Y102" i="5"/>
  <c r="W102" i="5"/>
  <c r="U102" i="5"/>
  <c r="T102" i="5"/>
  <c r="I102" i="5"/>
  <c r="E102" i="5"/>
  <c r="AC102" i="5" s="1"/>
  <c r="D102" i="5"/>
  <c r="AN100" i="5"/>
  <c r="AM100" i="5"/>
  <c r="AF100" i="5"/>
  <c r="AA100" i="5"/>
  <c r="Z100" i="5"/>
  <c r="D101" i="5" s="1"/>
  <c r="H100" i="5" s="1"/>
  <c r="Y100" i="5"/>
  <c r="W100" i="5"/>
  <c r="U100" i="5"/>
  <c r="T100" i="5"/>
  <c r="I100" i="5"/>
  <c r="E100" i="5"/>
  <c r="AC100" i="5" s="1"/>
  <c r="D100" i="5"/>
  <c r="AB100" i="5" s="1"/>
  <c r="AN93" i="5"/>
  <c r="AN200" i="5" s="1"/>
  <c r="K218" i="5" s="1"/>
  <c r="AM93" i="5"/>
  <c r="AF93" i="5"/>
  <c r="AA93" i="5"/>
  <c r="Z93" i="5"/>
  <c r="D94" i="5" s="1"/>
  <c r="H93" i="5" s="1"/>
  <c r="Y93" i="5"/>
  <c r="W93" i="5"/>
  <c r="U93" i="5"/>
  <c r="T93" i="5"/>
  <c r="I93" i="5"/>
  <c r="E93" i="5"/>
  <c r="AC93" i="5" s="1"/>
  <c r="D93" i="5"/>
  <c r="AB93" i="5" s="1"/>
  <c r="W179" i="5"/>
  <c r="AN179" i="5"/>
  <c r="AM179" i="5"/>
  <c r="AF179" i="5"/>
  <c r="AA179" i="5"/>
  <c r="Z179" i="5"/>
  <c r="Y179" i="5"/>
  <c r="D180" i="5" s="1"/>
  <c r="H179" i="5" s="1"/>
  <c r="U179" i="5"/>
  <c r="T179" i="5"/>
  <c r="I179" i="5"/>
  <c r="F179" i="5" s="1"/>
  <c r="E179" i="5"/>
  <c r="AC179" i="5" s="1"/>
  <c r="D179" i="5"/>
  <c r="AB179" i="5" s="1"/>
  <c r="N296" i="5"/>
  <c r="O296" i="5" s="1"/>
  <c r="L296" i="5"/>
  <c r="M296" i="5" s="1"/>
  <c r="N283" i="5"/>
  <c r="L283" i="5"/>
  <c r="F3" i="5"/>
  <c r="N9" i="5"/>
  <c r="T9" i="5" s="1"/>
  <c r="N10" i="5"/>
  <c r="T10" i="5" s="1"/>
  <c r="N11" i="5"/>
  <c r="T11" i="5" s="1"/>
  <c r="N12" i="5"/>
  <c r="T12" i="5" s="1"/>
  <c r="N13" i="5"/>
  <c r="T13" i="5" s="1"/>
  <c r="N14" i="5"/>
  <c r="T14" i="5" s="1"/>
  <c r="N15" i="5"/>
  <c r="T15" i="5" s="1"/>
  <c r="N16" i="5"/>
  <c r="T16" i="5" s="1"/>
  <c r="N17" i="5"/>
  <c r="T17" i="5" s="1"/>
  <c r="N18" i="5"/>
  <c r="T18" i="5" s="1"/>
  <c r="N19" i="5"/>
  <c r="T19" i="5" s="1"/>
  <c r="N20" i="5"/>
  <c r="T20" i="5" s="1"/>
  <c r="N21" i="5"/>
  <c r="T21" i="5" s="1"/>
  <c r="N22" i="5"/>
  <c r="T22" i="5"/>
  <c r="N8" i="5"/>
  <c r="T8" i="5" s="1"/>
  <c r="Y9" i="5"/>
  <c r="U9" i="5"/>
  <c r="Y10" i="5"/>
  <c r="U10" i="5" s="1"/>
  <c r="Y11" i="5"/>
  <c r="U11" i="5" s="1"/>
  <c r="Y12" i="5"/>
  <c r="U12" i="5" s="1"/>
  <c r="Y13" i="5"/>
  <c r="U13" i="5"/>
  <c r="Y14" i="5"/>
  <c r="U14" i="5" s="1"/>
  <c r="Y15" i="5"/>
  <c r="U15" i="5"/>
  <c r="Y16" i="5"/>
  <c r="U16" i="5" s="1"/>
  <c r="Y17" i="5"/>
  <c r="U17" i="5" s="1"/>
  <c r="Y18" i="5"/>
  <c r="U18" i="5" s="1"/>
  <c r="Y19" i="5"/>
  <c r="U19" i="5" s="1"/>
  <c r="Y20" i="5"/>
  <c r="U20" i="5" s="1"/>
  <c r="Y21" i="5"/>
  <c r="U21" i="5" s="1"/>
  <c r="Y22" i="5"/>
  <c r="U22" i="5" s="1"/>
  <c r="Y8" i="5"/>
  <c r="U8" i="5" s="1"/>
  <c r="T23" i="5"/>
  <c r="T24" i="5"/>
  <c r="L300" i="5"/>
  <c r="M300" i="5" s="1"/>
  <c r="N265" i="5"/>
  <c r="O265" i="5" s="1"/>
  <c r="L265" i="5"/>
  <c r="M265" i="5" s="1"/>
  <c r="N254" i="5"/>
  <c r="O254" i="5" s="1"/>
  <c r="L254" i="5"/>
  <c r="M254" i="5" s="1"/>
  <c r="N250" i="5"/>
  <c r="O250" i="5" s="1"/>
  <c r="L250" i="5"/>
  <c r="M250" i="5" s="1"/>
  <c r="N248" i="5"/>
  <c r="L248" i="5"/>
  <c r="N245" i="5"/>
  <c r="L245" i="5"/>
  <c r="N242" i="5"/>
  <c r="O242" i="5" s="1"/>
  <c r="L242" i="5"/>
  <c r="M242" i="5" s="1"/>
  <c r="N239" i="5"/>
  <c r="L239" i="5"/>
  <c r="N236" i="5"/>
  <c r="L236" i="5"/>
  <c r="N233" i="5"/>
  <c r="L233" i="5"/>
  <c r="N230" i="5"/>
  <c r="O230" i="5" s="1"/>
  <c r="L230" i="5"/>
  <c r="M230" i="5" s="1"/>
  <c r="N226" i="5"/>
  <c r="O226" i="5" s="1"/>
  <c r="L226" i="5"/>
  <c r="M226" i="5" s="1"/>
  <c r="N224" i="5"/>
  <c r="L224" i="5"/>
  <c r="N221" i="5"/>
  <c r="O221" i="5" s="1"/>
  <c r="L221" i="5"/>
  <c r="M221" i="5" s="1"/>
  <c r="N218" i="5"/>
  <c r="L218" i="5"/>
  <c r="N216" i="5"/>
  <c r="O216" i="5" s="1"/>
  <c r="L216" i="5"/>
  <c r="M216" i="5" s="1"/>
  <c r="N214" i="5"/>
  <c r="L214" i="5"/>
  <c r="N212" i="5"/>
  <c r="L212" i="5"/>
  <c r="N208" i="5"/>
  <c r="L208" i="5"/>
  <c r="N204" i="5"/>
  <c r="L204" i="5"/>
  <c r="N200" i="5"/>
  <c r="L200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G149" i="5"/>
  <c r="D107" i="5"/>
  <c r="H106" i="5" s="1"/>
  <c r="D147" i="5"/>
  <c r="H146" i="5"/>
  <c r="AC91" i="5"/>
  <c r="X96" i="5"/>
  <c r="V96" i="5" s="1"/>
  <c r="X179" i="5"/>
  <c r="V179" i="5" s="1"/>
  <c r="I90" i="5"/>
  <c r="G90" i="5" s="1"/>
  <c r="AB91" i="5"/>
  <c r="AD91" i="5" s="1"/>
  <c r="AB89" i="5"/>
  <c r="AK89" i="5" s="1"/>
  <c r="AI124" i="5"/>
  <c r="AJ124" i="5"/>
  <c r="AH124" i="5"/>
  <c r="AG124" i="5"/>
  <c r="AD124" i="5"/>
  <c r="AD197" i="5"/>
  <c r="I109" i="5"/>
  <c r="G109" i="5" s="1"/>
  <c r="D109" i="5"/>
  <c r="H108" i="5" s="1"/>
  <c r="D142" i="5"/>
  <c r="H141" i="5" s="1"/>
  <c r="F141" i="5" s="1"/>
  <c r="X141" i="5"/>
  <c r="V141" i="5" s="1"/>
  <c r="X102" i="5"/>
  <c r="V102" i="5" s="1"/>
  <c r="D175" i="5"/>
  <c r="H174" i="5" s="1"/>
  <c r="F174" i="5" s="1"/>
  <c r="AD89" i="5"/>
  <c r="AH89" i="5"/>
  <c r="AI89" i="5"/>
  <c r="AD192" i="5" l="1"/>
  <c r="X98" i="5"/>
  <c r="V98" i="5" s="1"/>
  <c r="AJ141" i="5"/>
  <c r="AD174" i="5"/>
  <c r="F192" i="5"/>
  <c r="S192" i="5" s="1"/>
  <c r="X151" i="5"/>
  <c r="V151" i="5" s="1"/>
  <c r="AJ89" i="5"/>
  <c r="X100" i="5"/>
  <c r="V100" i="5" s="1"/>
  <c r="AI91" i="5"/>
  <c r="AD151" i="5"/>
  <c r="X93" i="5"/>
  <c r="V93" i="5" s="1"/>
  <c r="I97" i="5"/>
  <c r="G97" i="5" s="1"/>
  <c r="F96" i="5" s="1"/>
  <c r="S96" i="5" s="1"/>
  <c r="Q96" i="5" s="1"/>
  <c r="X143" i="5"/>
  <c r="V143" i="5" s="1"/>
  <c r="D149" i="5"/>
  <c r="H148" i="5" s="1"/>
  <c r="F148" i="5" s="1"/>
  <c r="AJ98" i="5"/>
  <c r="Q192" i="5"/>
  <c r="AH108" i="5"/>
  <c r="AJ108" i="5"/>
  <c r="AD108" i="5"/>
  <c r="AI108" i="5"/>
  <c r="AK108" i="5"/>
  <c r="AH100" i="5"/>
  <c r="AK100" i="5"/>
  <c r="AL176" i="5"/>
  <c r="AD176" i="5"/>
  <c r="AI106" i="5"/>
  <c r="AD106" i="5"/>
  <c r="AG141" i="5"/>
  <c r="AD194" i="5"/>
  <c r="I94" i="5"/>
  <c r="G94" i="5" s="1"/>
  <c r="F93" i="5" s="1"/>
  <c r="S93" i="5" s="1"/>
  <c r="Q93" i="5" s="1"/>
  <c r="F146" i="5"/>
  <c r="AD179" i="5"/>
  <c r="AJ100" i="5"/>
  <c r="F187" i="5"/>
  <c r="AD189" i="5"/>
  <c r="AK106" i="5"/>
  <c r="AL174" i="5"/>
  <c r="S174" i="5"/>
  <c r="Q174" i="5" s="1"/>
  <c r="L174" i="5" s="1"/>
  <c r="M174" i="5" s="1"/>
  <c r="AH98" i="5"/>
  <c r="S141" i="5"/>
  <c r="Q141" i="5" s="1"/>
  <c r="N141" i="5" s="1"/>
  <c r="O141" i="5" s="1"/>
  <c r="AH141" i="5"/>
  <c r="D92" i="5"/>
  <c r="H91" i="5" s="1"/>
  <c r="AH93" i="5"/>
  <c r="AK124" i="5"/>
  <c r="S189" i="5"/>
  <c r="Q189" i="5" s="1"/>
  <c r="N189" i="5" s="1"/>
  <c r="O189" i="5" s="1"/>
  <c r="F151" i="5"/>
  <c r="S151" i="5" s="1"/>
  <c r="Q151" i="5" s="1"/>
  <c r="N151" i="5" s="1"/>
  <c r="O151" i="5" s="1"/>
  <c r="F108" i="5"/>
  <c r="S108" i="5" s="1"/>
  <c r="Q108" i="5" s="1"/>
  <c r="N108" i="5" s="1"/>
  <c r="O108" i="5" s="1"/>
  <c r="AK91" i="5"/>
  <c r="K212" i="5"/>
  <c r="O212" i="5" s="1"/>
  <c r="AD98" i="5"/>
  <c r="I107" i="5"/>
  <c r="G107" i="5" s="1"/>
  <c r="F106" i="5" s="1"/>
  <c r="S106" i="5" s="1"/>
  <c r="Q106" i="5" s="1"/>
  <c r="I99" i="5"/>
  <c r="G99" i="5" s="1"/>
  <c r="F98" i="5" s="1"/>
  <c r="S98" i="5" s="1"/>
  <c r="Q98" i="5" s="1"/>
  <c r="D90" i="5"/>
  <c r="H89" i="5" s="1"/>
  <c r="F89" i="5" s="1"/>
  <c r="S89" i="5" s="1"/>
  <c r="Q89" i="5" s="1"/>
  <c r="AH91" i="5"/>
  <c r="D182" i="5"/>
  <c r="H181" i="5" s="1"/>
  <c r="F181" i="5" s="1"/>
  <c r="S181" i="5" s="1"/>
  <c r="Q181" i="5" s="1"/>
  <c r="L181" i="5" s="1"/>
  <c r="M181" i="5" s="1"/>
  <c r="F143" i="5"/>
  <c r="S143" i="5" s="1"/>
  <c r="Q143" i="5" s="1"/>
  <c r="N143" i="5" s="1"/>
  <c r="O143" i="5" s="1"/>
  <c r="F197" i="5"/>
  <c r="S197" i="5" s="1"/>
  <c r="Q197" i="5" s="1"/>
  <c r="I92" i="5"/>
  <c r="G92" i="5" s="1"/>
  <c r="F91" i="5" s="1"/>
  <c r="S91" i="5" s="1"/>
  <c r="Q91" i="5" s="1"/>
  <c r="N91" i="5" s="1"/>
  <c r="O91" i="5" s="1"/>
  <c r="M208" i="5"/>
  <c r="O208" i="5"/>
  <c r="N181" i="5"/>
  <c r="O181" i="5" s="1"/>
  <c r="AG143" i="5"/>
  <c r="AJ143" i="5"/>
  <c r="AH143" i="5"/>
  <c r="AI143" i="5"/>
  <c r="L141" i="5"/>
  <c r="M141" i="5" s="1"/>
  <c r="L189" i="5"/>
  <c r="M189" i="5" s="1"/>
  <c r="N197" i="5"/>
  <c r="O197" i="5" s="1"/>
  <c r="L197" i="5"/>
  <c r="M197" i="5" s="1"/>
  <c r="L194" i="5"/>
  <c r="M194" i="5" s="1"/>
  <c r="N194" i="5"/>
  <c r="O194" i="5" s="1"/>
  <c r="M218" i="5"/>
  <c r="O218" i="5"/>
  <c r="S148" i="5"/>
  <c r="Q148" i="5" s="1"/>
  <c r="AD96" i="5"/>
  <c r="AC146" i="5"/>
  <c r="S146" i="5"/>
  <c r="Q146" i="5" s="1"/>
  <c r="D177" i="5"/>
  <c r="H176" i="5" s="1"/>
  <c r="F176" i="5" s="1"/>
  <c r="S176" i="5" s="1"/>
  <c r="X176" i="5"/>
  <c r="V176" i="5" s="1"/>
  <c r="AI153" i="5"/>
  <c r="AD153" i="5"/>
  <c r="AJ153" i="5"/>
  <c r="AL179" i="5"/>
  <c r="AD100" i="5"/>
  <c r="AD143" i="5"/>
  <c r="AH153" i="5"/>
  <c r="S187" i="5"/>
  <c r="Q187" i="5" s="1"/>
  <c r="AB187" i="5"/>
  <c r="K204" i="5"/>
  <c r="K214" i="5"/>
  <c r="M212" i="5"/>
  <c r="K200" i="5"/>
  <c r="AJ96" i="5"/>
  <c r="AI96" i="5"/>
  <c r="AJ93" i="5"/>
  <c r="S179" i="5"/>
  <c r="Q179" i="5" s="1"/>
  <c r="AI93" i="5"/>
  <c r="AM200" i="5"/>
  <c r="K224" i="5" s="1"/>
  <c r="X183" i="5"/>
  <c r="V183" i="5" s="1"/>
  <c r="D184" i="5"/>
  <c r="H183" i="5" s="1"/>
  <c r="F183" i="5" s="1"/>
  <c r="S183" i="5" s="1"/>
  <c r="AJ106" i="5"/>
  <c r="AH106" i="5"/>
  <c r="AG151" i="5"/>
  <c r="X153" i="5"/>
  <c r="V153" i="5" s="1"/>
  <c r="D154" i="5"/>
  <c r="H153" i="5" s="1"/>
  <c r="F153" i="5" s="1"/>
  <c r="S153" i="5" s="1"/>
  <c r="AL192" i="5"/>
  <c r="AJ91" i="5"/>
  <c r="AI100" i="5"/>
  <c r="Q145" i="5"/>
  <c r="AD93" i="5"/>
  <c r="AK93" i="5"/>
  <c r="AH96" i="5"/>
  <c r="AL183" i="5"/>
  <c r="I101" i="5"/>
  <c r="G101" i="5" s="1"/>
  <c r="F100" i="5" s="1"/>
  <c r="S100" i="5" s="1"/>
  <c r="AB102" i="5"/>
  <c r="AK102" i="5" s="1"/>
  <c r="I103" i="5"/>
  <c r="G103" i="5" s="1"/>
  <c r="F102" i="5" s="1"/>
  <c r="S102" i="5" s="1"/>
  <c r="Q102" i="5" s="1"/>
  <c r="AB148" i="5"/>
  <c r="AI148" i="5" s="1"/>
  <c r="AI98" i="5"/>
  <c r="AI141" i="5"/>
  <c r="AD181" i="5"/>
  <c r="D125" i="5"/>
  <c r="H124" i="5" s="1"/>
  <c r="F124" i="5" s="1"/>
  <c r="X124" i="5"/>
  <c r="V124" i="5" s="1"/>
  <c r="AL197" i="5"/>
  <c r="AJ151" i="5"/>
  <c r="AI151" i="5"/>
  <c r="AH151" i="5"/>
  <c r="AG153" i="5"/>
  <c r="Q183" i="5" l="1"/>
  <c r="L143" i="5"/>
  <c r="M143" i="5" s="1"/>
  <c r="N174" i="5"/>
  <c r="O174" i="5" s="1"/>
  <c r="AK200" i="5"/>
  <c r="K248" i="5" s="1"/>
  <c r="M248" i="5" s="1"/>
  <c r="Q100" i="5"/>
  <c r="N106" i="5"/>
  <c r="O106" i="5" s="1"/>
  <c r="L106" i="5"/>
  <c r="M106" i="5" s="1"/>
  <c r="N89" i="5"/>
  <c r="O89" i="5" s="1"/>
  <c r="L89" i="5"/>
  <c r="M89" i="5" s="1"/>
  <c r="Q176" i="5"/>
  <c r="Q153" i="5"/>
  <c r="L151" i="5"/>
  <c r="M151" i="5" s="1"/>
  <c r="AD148" i="5"/>
  <c r="L91" i="5"/>
  <c r="M91" i="5" s="1"/>
  <c r="L108" i="5"/>
  <c r="M108" i="5" s="1"/>
  <c r="L192" i="5"/>
  <c r="M192" i="5" s="1"/>
  <c r="N192" i="5"/>
  <c r="O192" i="5" s="1"/>
  <c r="N100" i="5"/>
  <c r="O100" i="5" s="1"/>
  <c r="L100" i="5"/>
  <c r="M100" i="5" s="1"/>
  <c r="N102" i="5"/>
  <c r="O102" i="5" s="1"/>
  <c r="L102" i="5"/>
  <c r="M102" i="5" s="1"/>
  <c r="AD199" i="5"/>
  <c r="L98" i="5"/>
  <c r="M98" i="5" s="1"/>
  <c r="N98" i="5"/>
  <c r="O98" i="5" s="1"/>
  <c r="AL187" i="5"/>
  <c r="AD187" i="5"/>
  <c r="N96" i="5"/>
  <c r="O96" i="5" s="1"/>
  <c r="L96" i="5"/>
  <c r="M96" i="5" s="1"/>
  <c r="L93" i="5"/>
  <c r="M93" i="5" s="1"/>
  <c r="N93" i="5"/>
  <c r="O93" i="5" s="1"/>
  <c r="L146" i="5"/>
  <c r="M146" i="5" s="1"/>
  <c r="N146" i="5"/>
  <c r="O146" i="5" s="1"/>
  <c r="AI102" i="5"/>
  <c r="O224" i="5"/>
  <c r="M224" i="5"/>
  <c r="M214" i="5"/>
  <c r="O214" i="5"/>
  <c r="N187" i="5"/>
  <c r="O187" i="5" s="1"/>
  <c r="L187" i="5"/>
  <c r="M187" i="5" s="1"/>
  <c r="AH148" i="5"/>
  <c r="AL200" i="5"/>
  <c r="K245" i="5" s="1"/>
  <c r="AI146" i="5"/>
  <c r="AI200" i="5" s="1"/>
  <c r="K236" i="5" s="1"/>
  <c r="AH146" i="5"/>
  <c r="AD146" i="5"/>
  <c r="AG146" i="5"/>
  <c r="AJ146" i="5"/>
  <c r="AH102" i="5"/>
  <c r="N183" i="5"/>
  <c r="O183" i="5" s="1"/>
  <c r="L183" i="5"/>
  <c r="M183" i="5" s="1"/>
  <c r="M204" i="5"/>
  <c r="O204" i="5"/>
  <c r="AD102" i="5"/>
  <c r="L153" i="5"/>
  <c r="M153" i="5" s="1"/>
  <c r="N153" i="5"/>
  <c r="O153" i="5" s="1"/>
  <c r="S124" i="5"/>
  <c r="Q124" i="5" s="1"/>
  <c r="Q123" i="5"/>
  <c r="AJ148" i="5"/>
  <c r="AG148" i="5"/>
  <c r="L179" i="5"/>
  <c r="M179" i="5" s="1"/>
  <c r="N179" i="5"/>
  <c r="O179" i="5" s="1"/>
  <c r="O200" i="5"/>
  <c r="M200" i="5"/>
  <c r="N176" i="5"/>
  <c r="O176" i="5" s="1"/>
  <c r="L176" i="5"/>
  <c r="M176" i="5" s="1"/>
  <c r="L148" i="5"/>
  <c r="M148" i="5" s="1"/>
  <c r="N148" i="5"/>
  <c r="O148" i="5" s="1"/>
  <c r="AJ102" i="5"/>
  <c r="O248" i="5" l="1"/>
  <c r="AH200" i="5"/>
  <c r="K233" i="5" s="1"/>
  <c r="M233" i="5" s="1"/>
  <c r="AJ200" i="5"/>
  <c r="K239" i="5" s="1"/>
  <c r="M239" i="5" s="1"/>
  <c r="O239" i="5"/>
  <c r="O236" i="5"/>
  <c r="M236" i="5"/>
  <c r="AG200" i="5"/>
  <c r="O245" i="5"/>
  <c r="M245" i="5"/>
  <c r="N124" i="5"/>
  <c r="O124" i="5" s="1"/>
  <c r="L124" i="5"/>
  <c r="M124" i="5" s="1"/>
  <c r="O233" i="5"/>
  <c r="O304" i="5" l="1"/>
  <c r="M304" i="5"/>
  <c r="M305" i="5" s="1"/>
</calcChain>
</file>

<file path=xl/sharedStrings.xml><?xml version="1.0" encoding="utf-8"?>
<sst xmlns="http://schemas.openxmlformats.org/spreadsheetml/2006/main" count="343" uniqueCount="206">
  <si>
    <t xml:space="preserve">Blower </t>
  </si>
  <si>
    <t>Motor</t>
  </si>
  <si>
    <t>FLP</t>
  </si>
  <si>
    <t>NFLP</t>
  </si>
  <si>
    <t>Price</t>
  </si>
  <si>
    <t>Ex.Duty</t>
  </si>
  <si>
    <t>cost</t>
  </si>
  <si>
    <t>New22.09.21</t>
  </si>
  <si>
    <t>Model</t>
  </si>
  <si>
    <t>Rate</t>
  </si>
  <si>
    <t>Hp</t>
  </si>
  <si>
    <r>
      <t>Sub.:</t>
    </r>
    <r>
      <rPr>
        <sz val="11"/>
        <rFont val="Arial"/>
        <family val="2"/>
      </rPr>
      <t xml:space="preserve"> Offer for Class 100K AC &amp; Ventilation System and NC System for your PB - C  and Pilot Plan  Reg.</t>
    </r>
  </si>
  <si>
    <t>S.No.</t>
  </si>
  <si>
    <t>Description &amp; Specifications</t>
  </si>
  <si>
    <t>Units</t>
  </si>
  <si>
    <t>Qty</t>
  </si>
  <si>
    <t xml:space="preserve">Supply </t>
  </si>
  <si>
    <t>Installation</t>
  </si>
  <si>
    <t>Amount</t>
  </si>
  <si>
    <t>I</t>
  </si>
  <si>
    <t>AIR HANDLING UNITS</t>
  </si>
  <si>
    <t>A</t>
  </si>
  <si>
    <t xml:space="preserve">ISO - 8 / CLASS 100000 / (D) Areas. </t>
  </si>
  <si>
    <r>
      <t xml:space="preserve">Double Skin AHU made out of Al. Hollow  Section and 24 G GI Panels 25 mm thick duly filled with PUF with provision for Filter sections of </t>
    </r>
    <r>
      <rPr>
        <sz val="11"/>
        <color indexed="10"/>
        <rFont val="Arial"/>
        <family val="2"/>
      </rPr>
      <t>10 micron Fresh air, 10 micron Prefilter , 5 micron fine filtration, 1 micron fine filtration and 0.3 Micron 95% Eff. HEPA Filtration,</t>
    </r>
    <r>
      <rPr>
        <sz val="11"/>
        <rFont val="Arial"/>
        <family val="2"/>
      </rPr>
      <t xml:space="preserve"> coil section with SS PUF insulated drain tray, fan section with backward curved centrifugal fan of 150 mm static pressure (Kruger / Nicotra / Equivalent Make) with V-Belt drive arrangement and access doors where ever necessary with FLP Motor (Crompton / equivalent Make) and Chilled water Evaporator coil made out of 1/2" / 5/8" copper tubes with MS Header/Distributor with 12-13 FPI of following capacities. </t>
    </r>
  </si>
  <si>
    <t>PBC Block</t>
  </si>
  <si>
    <t>Width</t>
  </si>
  <si>
    <t>Height</t>
  </si>
  <si>
    <t>Length</t>
  </si>
  <si>
    <t>Cfm</t>
  </si>
  <si>
    <t>Blower length</t>
  </si>
  <si>
    <t>Filtrat. Length</t>
  </si>
  <si>
    <t>AC AHU- 001</t>
  </si>
  <si>
    <t>Nos.</t>
  </si>
  <si>
    <t>AC AHU- 002</t>
  </si>
  <si>
    <t>AC AHU- 003</t>
  </si>
  <si>
    <t>BDB</t>
  </si>
  <si>
    <t>TR</t>
  </si>
  <si>
    <t>Coil Depth</t>
  </si>
  <si>
    <t>Filtrat. Stages</t>
  </si>
  <si>
    <t xml:space="preserve">Coil Rows </t>
  </si>
  <si>
    <t>AC AHU- 004</t>
  </si>
  <si>
    <t>AC AHU- 005</t>
  </si>
  <si>
    <t>AC AHU- 006</t>
  </si>
  <si>
    <t>AC AHU- 007</t>
  </si>
  <si>
    <t>PP Block</t>
  </si>
  <si>
    <t>B</t>
  </si>
  <si>
    <t>NC Areas. ( 5 MICRON AC SUPPLY) ( PBC Block)</t>
  </si>
  <si>
    <r>
      <t>Double Skin AHU made out of Al. Hollow  Section and 24 G GI Panels 25 mm thick duly filled with PUF with provision for Filter sections of</t>
    </r>
    <r>
      <rPr>
        <sz val="11"/>
        <color indexed="10"/>
        <rFont val="Arial"/>
        <family val="2"/>
      </rPr>
      <t xml:space="preserve"> 20 micron Fresh air, 10 micron Prefilter , 5 micron fine filtration, 1 micron Superfine Filtration, and 0.3 micron 95% HEPA Filter Section</t>
    </r>
    <r>
      <rPr>
        <sz val="11"/>
        <rFont val="Arial"/>
        <family val="2"/>
      </rPr>
      <t xml:space="preserve"> , fan section with backward curved centrifugal fan of 110 mm static pressure (Kruger Make) with V-Belt drive arrangement and access doors where ever necessary with FLP Motor (Crompton Make) of following capacities. </t>
    </r>
  </si>
  <si>
    <t>VSU - 001</t>
  </si>
  <si>
    <t>C</t>
  </si>
  <si>
    <t>NC Areas. ( 5 MICRON AC SUPPLY)</t>
  </si>
  <si>
    <r>
      <t>Double Skin AHU made out of Al. Hollow  Section and 24 G GI Panels 25 mm thick duly filled with PUF with provision for Filter sections of</t>
    </r>
    <r>
      <rPr>
        <sz val="11"/>
        <color indexed="10"/>
        <rFont val="Arial"/>
        <family val="2"/>
      </rPr>
      <t xml:space="preserve"> 20 micron Fresh air, 10 micron Prefilter , 5 micron fine filtration</t>
    </r>
    <r>
      <rPr>
        <sz val="11"/>
        <rFont val="Arial"/>
        <family val="2"/>
      </rPr>
      <t xml:space="preserve">,  fan section with backward curved centrifugal fan of 90 mm static pressure (Kruger Make) with V-Belt drive arrangement and access doors where ever necessary with FLP Motor (Crompton Make)  of following capacities. </t>
    </r>
  </si>
  <si>
    <t>FAM - 001</t>
  </si>
  <si>
    <t>FAM - 002</t>
  </si>
  <si>
    <t>VSU - 002</t>
  </si>
  <si>
    <t>VSU - 003</t>
  </si>
  <si>
    <t>VSU - 004</t>
  </si>
  <si>
    <t>VSU - 005</t>
  </si>
  <si>
    <t>D</t>
  </si>
  <si>
    <t>EXHAUST SYSTEM ( VENTILATION )</t>
  </si>
  <si>
    <t xml:space="preserve">Single Skin AHU made out of Al. Hollow  Section and 18 G GI Panels 25 mm thick with provision for Filter sections of 20 Micron exhaust air, fan section with backward curved centrifugal fan of 50 mm static pressure (Kruger Make) with V-Belt drive arrangement and access doors where ever necessary with FLP Motor (Crompton Make). </t>
  </si>
  <si>
    <t>FEM - 001</t>
  </si>
  <si>
    <t>FEM - 002</t>
  </si>
  <si>
    <t>VEU - 001</t>
  </si>
  <si>
    <t>VEU - 002</t>
  </si>
  <si>
    <t>VEU - 003</t>
  </si>
  <si>
    <t>VEU - 004</t>
  </si>
  <si>
    <t>VEU - 005</t>
  </si>
  <si>
    <t>Ex. 1  Modules</t>
  </si>
  <si>
    <t>Ex. 2  Modules</t>
  </si>
  <si>
    <t>II</t>
  </si>
  <si>
    <t>AIR CIRCULATION SYSTEM</t>
  </si>
  <si>
    <t>24 G GI ducting with MS angle joints duly with rubber</t>
  </si>
  <si>
    <t>Sft</t>
  </si>
  <si>
    <t>gasket joined with GI plated  06 mm Nut bolts and</t>
  </si>
  <si>
    <t>supported by 8 mm GI threaded rods and Sealed</t>
  </si>
  <si>
    <t xml:space="preserve">duly with Silicon Sealant on joints </t>
  </si>
  <si>
    <t>22 G GI ducting with MS angle joints duly with rubber</t>
  </si>
  <si>
    <t>20 G GI ducting with MS angle joints duly with rubber</t>
  </si>
  <si>
    <t>20 micr</t>
  </si>
  <si>
    <t xml:space="preserve">10 micr </t>
  </si>
  <si>
    <t>5 micr</t>
  </si>
  <si>
    <t xml:space="preserve">1 micr </t>
  </si>
  <si>
    <t>0.3 micr</t>
  </si>
  <si>
    <t>20 micr Exhaust</t>
  </si>
  <si>
    <t>Al Dampers</t>
  </si>
  <si>
    <t>13 mm thick Cross linked closedcell foil faced</t>
  </si>
  <si>
    <t xml:space="preserve"> insulation for return air with taped joints. </t>
  </si>
  <si>
    <t xml:space="preserve">19 mm thick Cross linked closedcell foil faced </t>
  </si>
  <si>
    <t xml:space="preserve">insulation for Supply air with taped joints. </t>
  </si>
  <si>
    <t>SS 316. Perforated Grills duly boughed</t>
  </si>
  <si>
    <t>for Supply &amp; return air in 100K &amp; NC areas</t>
  </si>
  <si>
    <t xml:space="preserve">Fire Resistant Opposite Blade type Volume control </t>
  </si>
  <si>
    <t xml:space="preserve">dampers at AHU made out of 18 GI duly epoxy </t>
  </si>
  <si>
    <t>powder coated / PU painted with fusible link.</t>
  </si>
  <si>
    <t xml:space="preserve">Opposite Blade type Volume control Dampers for Air </t>
  </si>
  <si>
    <t xml:space="preserve">distribution control in ducts made out of 20 GI </t>
  </si>
  <si>
    <t>duly Epoxy powder coated / PU painted.</t>
  </si>
  <si>
    <t xml:space="preserve">Gear type control Dampers for distribution </t>
  </si>
  <si>
    <t>AHU's for Supply , Fresh air , Retrun Air &amp; Exhaust Air.</t>
  </si>
  <si>
    <t xml:space="preserve">Supply, return &amp; Exhaust Air filter Modules for </t>
  </si>
  <si>
    <t xml:space="preserve">fixing Terminal grills duly epoxy powder coated made </t>
  </si>
  <si>
    <t xml:space="preserve">out of 18/20 G CRCA for 100 K,5 &amp; 20 micron </t>
  </si>
  <si>
    <t>areas. with Gear Mechanism.</t>
  </si>
  <si>
    <t xml:space="preserve">Flexible canvas connections for AHU's, </t>
  </si>
  <si>
    <t>Terminals, Blowers, and plenum connections.</t>
  </si>
  <si>
    <t>III</t>
  </si>
  <si>
    <t>AIR FILTRATION SYSTEM</t>
  </si>
  <si>
    <t xml:space="preserve">10 micron filters made out of HLP media with </t>
  </si>
  <si>
    <t xml:space="preserve">one side  HDPE &amp; other side Al. expanded mesh of </t>
  </si>
  <si>
    <t>efficiency 95% (150mm)</t>
  </si>
  <si>
    <t xml:space="preserve">5 micron filters made out of SNPF media with </t>
  </si>
  <si>
    <t xml:space="preserve">one side HDPE &amp; other side Al. expanded mesh of </t>
  </si>
  <si>
    <t>efficiency 99%(300 mm) ( 150 GSM )</t>
  </si>
  <si>
    <t xml:space="preserve">1 micron filters made out of SNPF media with </t>
  </si>
  <si>
    <t>efficiency 99.9%(300 mm)( 200 GSM )</t>
  </si>
  <si>
    <t xml:space="preserve">20 micron filters made out of HDPE media with </t>
  </si>
  <si>
    <t>efficiency 90%(150 mm) for fresh air supply</t>
  </si>
  <si>
    <t>efficiency 90%(150 mm) for Exhaust air.</t>
  </si>
  <si>
    <t xml:space="preserve">0.3 micron (HEPA) filters made out of </t>
  </si>
  <si>
    <t>imported lydall media of efficiency 95% for 100K Area.</t>
  </si>
  <si>
    <t>efficiency  95% (50mm thick)for Return air in Class</t>
  </si>
  <si>
    <t>100K &amp; 5 Micron Areas.</t>
  </si>
  <si>
    <t xml:space="preserve">5 micron filters made out of SNPF media </t>
  </si>
  <si>
    <t xml:space="preserve">with one side HDPE &amp; other side Al. expanded mesh </t>
  </si>
  <si>
    <t xml:space="preserve">of  efficiency  95% (50mm thick) for Supply air in </t>
  </si>
  <si>
    <t>Class 100K &amp; 5 Micron Areas.</t>
  </si>
  <si>
    <t>IV</t>
  </si>
  <si>
    <t>PRESSURE MONITORING SYSTEM</t>
  </si>
  <si>
    <t>0-10 mm DWYER make Magnehelic Guages</t>
  </si>
  <si>
    <t xml:space="preserve">for Room pressures indication </t>
  </si>
  <si>
    <t>0-50 mm DWYER make Magnehelic Guages</t>
  </si>
  <si>
    <t>for filtwer pressures indication in AHU's</t>
  </si>
  <si>
    <t xml:space="preserve">SS 304 Individual Magnehelic gauge housing </t>
  </si>
  <si>
    <t>with sensor</t>
  </si>
  <si>
    <t xml:space="preserve">SMART PROCESS SCANNERS with in built Sensor </t>
  </si>
  <si>
    <t>Make:POLMON</t>
  </si>
  <si>
    <t>Specifications:</t>
  </si>
  <si>
    <t>In built :RH,Temperature &amp; DP</t>
  </si>
  <si>
    <t>Output Type-Modbus</t>
  </si>
  <si>
    <t>X-Future Use</t>
  </si>
  <si>
    <t>Display: RH, TEMP. and DP</t>
  </si>
  <si>
    <t>Set point for each parameter (Hi/Low).</t>
  </si>
  <si>
    <t>Display Blinking on Violation (Optional Buzzer Indication).</t>
  </si>
  <si>
    <t>Programmable Damping/ Filter constant for each parameter.</t>
  </si>
  <si>
    <t>Independent Displays for each parameter.</t>
  </si>
  <si>
    <t>Diagnostic messages for each parameter.</t>
  </si>
  <si>
    <t>Fully Differential Inputs.</t>
  </si>
  <si>
    <t>Optically Isolated communication port.</t>
  </si>
  <si>
    <t>Programmable Baud Rate Selection 1200/ 9600/ 19.2KB/ 38.4KB.</t>
  </si>
  <si>
    <t>Power Supply: 24 VAC</t>
  </si>
  <si>
    <t>SS face plate</t>
  </si>
  <si>
    <t>Mounting: Modular Wall Mounting</t>
  </si>
  <si>
    <t xml:space="preserve">DP TRANSMITTERS FOR CLEAN ROOMS </t>
  </si>
  <si>
    <t>Local Display:required</t>
  </si>
  <si>
    <t>1-Face Plate Of Material- SS</t>
  </si>
  <si>
    <t>X- 0-12mm WC</t>
  </si>
  <si>
    <t>Lifetime Stability of -/+0.5% F.S.O</t>
  </si>
  <si>
    <t>No Calibration or recalibration necessary for the life of the device</t>
  </si>
  <si>
    <t>Standard 2-Year warranty</t>
  </si>
  <si>
    <t>Accuracy:1% on FSO</t>
  </si>
  <si>
    <t>Output:4-20mA</t>
  </si>
  <si>
    <t>Calibrated to NIST-Traceable standards</t>
  </si>
  <si>
    <t>Media compatability:clean,dry inert,non-ferrous gases</t>
  </si>
  <si>
    <t xml:space="preserve">DP MOUNTING BOX WITH ACCESSORIES </t>
  </si>
  <si>
    <t>1-Type Of Material-SS-304</t>
  </si>
  <si>
    <t>1-Depth-1-50mm</t>
  </si>
  <si>
    <t>V</t>
  </si>
  <si>
    <t>VALIDATION</t>
  </si>
  <si>
    <t>Commissioning &amp; Validation of Total Clean Room</t>
  </si>
  <si>
    <t>L/s.</t>
  </si>
  <si>
    <t xml:space="preserve">(Air Balancing,Temp., Pressure Balancing, Particle </t>
  </si>
  <si>
    <t>.</t>
  </si>
  <si>
    <t xml:space="preserve">Count, HEPA Integrity Test (D.O.P), recovery Test </t>
  </si>
  <si>
    <t>with DQ/IQ/OQ/PQ reports)</t>
  </si>
  <si>
    <t>Terms &amp; Conditions :</t>
  </si>
  <si>
    <t>The above prices are inclusive of Packing, Forwarding, erection &amp; Commissioning of the system.</t>
  </si>
  <si>
    <t>Transportation Charges &amp; Unloading Charges extra at actuals in client's scope.</t>
  </si>
  <si>
    <t>Accomodation at Site Shall be provided for 20 - 25 Persons at the cost of Client.</t>
  </si>
  <si>
    <t xml:space="preserve">GST@18% extra </t>
  </si>
  <si>
    <t>However any tax variations at the time of delivery shall be applicable as per actuals.</t>
  </si>
  <si>
    <t>All civil, False Ceiling works &amp; electrical cabling, starters, Panel Boards etc. will be in client's scope.</t>
  </si>
  <si>
    <t>All electrical cable connections shall be connected to AHU motors at the installated Areas.</t>
  </si>
  <si>
    <t>Ducting, Dampers, Insulation,Grills &amp; terminal modules with Filters are tentative and will be charged as per actuals.</t>
  </si>
  <si>
    <t xml:space="preserve">Scaffoldings or support structures required if any shall be in clients scope </t>
  </si>
  <si>
    <t xml:space="preserve">All heat loads are based on calculations as per oral references, if any changes as per practical site conditions   </t>
  </si>
  <si>
    <t>shall be reworked along with prices.</t>
  </si>
  <si>
    <t>All test Certificates along with Calibration &amp; Traceable certificates will be provided.</t>
  </si>
  <si>
    <t>All detailed equipment / duct drawings will be submitted for approvals against your W.O. / LOI along with Advance.</t>
  </si>
  <si>
    <t>Chilled water/ DX connections along with all piping &amp; controls with accessories does not include in our scope.</t>
  </si>
  <si>
    <t>Along with Condensing Units / Chiller Plant.</t>
  </si>
  <si>
    <t>Dehumidifier is necessary to control humidity anything below 55+/-5% along with prec-cooling of fresh Air.</t>
  </si>
  <si>
    <t>Drain water connections along with all piping &amp; accessories does not include in our scope.</t>
  </si>
  <si>
    <t xml:space="preserve">All equipments are guaranteed against any manufacturing defects for a period of 12 months from the date of </t>
  </si>
  <si>
    <t>Commissioning or 15 months from the date of supply which ever is earliest.</t>
  </si>
  <si>
    <t>DELIVERY:  06-08  weeks from the date of Confirmed P.O. &amp;  ADVANCE</t>
  </si>
  <si>
    <t>( From the date of approval of Layout Drawings, Duct routing Drawings, AHU's drawings etc.)</t>
  </si>
  <si>
    <t>Installation within 10 Weeks, Commissioning - 1 Week, Documentation ( DQ/IQ/OQ/PQ) - 1 week</t>
  </si>
  <si>
    <r>
      <t xml:space="preserve">Payment : </t>
    </r>
    <r>
      <rPr>
        <b/>
        <sz val="10"/>
        <rFont val="Arial"/>
        <family val="2"/>
      </rPr>
      <t>Supply : 5</t>
    </r>
    <r>
      <rPr>
        <sz val="10"/>
        <rFont val="Arial"/>
        <family val="2"/>
      </rPr>
      <t xml:space="preserve">0 % advance, 50 % against Proforma Invoice on Pro-rata Basis. </t>
    </r>
    <r>
      <rPr>
        <b/>
        <sz val="10"/>
        <rFont val="Arial"/>
        <family val="2"/>
      </rPr>
      <t>Installation : 5</t>
    </r>
    <r>
      <rPr>
        <sz val="10"/>
        <rFont val="Arial"/>
        <family val="2"/>
      </rPr>
      <t xml:space="preserve">0% Advance, </t>
    </r>
  </si>
  <si>
    <t xml:space="preserve"> balance against installation &amp; commissioning.</t>
  </si>
  <si>
    <t xml:space="preserve">If Canteen facilities can be provided at your site work for 20-25 Persons to complete the work at a faster rate shall be helpful.. </t>
  </si>
  <si>
    <t>Safe Working Place and material Storage place for &amp; from our xcompany shall be provided at Site at clients cost.</t>
  </si>
  <si>
    <t>Lifting Shifting of all material at site is in Client's Scope.</t>
  </si>
  <si>
    <t>Offer Validity : 15 days.</t>
  </si>
  <si>
    <t xml:space="preserve">we hope the above will meet your requirement and please feel free to contact us for any Techno-commercial </t>
  </si>
  <si>
    <t>discussions in this regard.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</si>
</sst>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>
    <font>
      <sz val="10"/>
      <name val="Arial"/>
    </font>
    <font>
      <u/>
      <sz val="10"/>
      <color indexed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1"/>
      <color indexed="10"/>
      <name val="Arial"/>
      <family val="2"/>
    </font>
    <font>
      <sz val="16"/>
      <name val="Arial"/>
      <family val="2"/>
    </font>
    <font>
      <b/>
      <sz val="11"/>
      <color rgb="FF002060"/>
      <name val="Arial"/>
      <family val="2"/>
    </font>
    <font>
      <sz val="10"/>
      <color rgb="FF002060"/>
      <name val="Arial"/>
      <family val="2"/>
    </font>
    <font>
      <sz val="9"/>
      <color rgb="FF002060"/>
      <name val="Arial"/>
      <family val="2"/>
    </font>
    <font>
      <b/>
      <sz val="12"/>
      <color rgb="FF002060"/>
      <name val="Arial"/>
      <family val="2"/>
    </font>
    <font>
      <sz val="11"/>
      <color rgb="FF002060"/>
      <name val="Arial"/>
      <family val="2"/>
    </font>
    <font>
      <b/>
      <sz val="11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0" xfId="0" applyFont="1"/>
    <xf numFmtId="0" fontId="8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5" fillId="0" borderId="0" xfId="0" applyFont="1"/>
    <xf numFmtId="0" fontId="3" fillId="0" borderId="5" xfId="0" applyFont="1" applyBorder="1" applyAlignment="1">
      <alignment horizontal="left"/>
    </xf>
    <xf numFmtId="0" fontId="5" fillId="0" borderId="6" xfId="0" applyFont="1" applyBorder="1" applyAlignment="1">
      <alignment horizontal="center"/>
    </xf>
    <xf numFmtId="2" fontId="5" fillId="0" borderId="6" xfId="0" applyNumberFormat="1" applyFont="1" applyBorder="1" applyAlignment="1">
      <alignment horizontal="center"/>
    </xf>
    <xf numFmtId="0" fontId="5" fillId="0" borderId="7" xfId="0" applyFon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2" fontId="5" fillId="0" borderId="7" xfId="0" applyNumberFormat="1" applyFont="1" applyBorder="1" applyAlignment="1">
      <alignment horizontal="right"/>
    </xf>
    <xf numFmtId="0" fontId="5" fillId="0" borderId="6" xfId="0" applyFont="1" applyBorder="1"/>
    <xf numFmtId="0" fontId="5" fillId="0" borderId="4" xfId="0" applyFont="1" applyBorder="1" applyAlignment="1">
      <alignment horizontal="center"/>
    </xf>
    <xf numFmtId="0" fontId="5" fillId="0" borderId="9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5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5" fillId="0" borderId="12" xfId="0" applyFont="1" applyBorder="1" applyAlignment="1">
      <alignment horizontal="center"/>
    </xf>
    <xf numFmtId="0" fontId="5" fillId="0" borderId="12" xfId="0" applyFont="1" applyBorder="1"/>
    <xf numFmtId="0" fontId="5" fillId="0" borderId="13" xfId="0" applyFont="1" applyBorder="1"/>
    <xf numFmtId="0" fontId="5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15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0" fillId="0" borderId="16" xfId="0" applyBorder="1" applyAlignment="1">
      <alignment horizontal="center" vertical="center"/>
    </xf>
    <xf numFmtId="0" fontId="0" fillId="0" borderId="17" xfId="0" applyBorder="1"/>
    <xf numFmtId="0" fontId="5" fillId="0" borderId="18" xfId="0" applyFont="1" applyBorder="1" applyAlignment="1">
      <alignment horizontal="center" vertical="top"/>
    </xf>
    <xf numFmtId="0" fontId="0" fillId="0" borderId="2" xfId="0" applyBorder="1" applyAlignment="1">
      <alignment horizontal="center" vertical="center" wrapText="1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2" fontId="5" fillId="0" borderId="12" xfId="0" applyNumberFormat="1" applyFont="1" applyBorder="1" applyAlignment="1">
      <alignment horizontal="right"/>
    </xf>
    <xf numFmtId="2" fontId="5" fillId="0" borderId="6" xfId="0" applyNumberFormat="1" applyFont="1" applyBorder="1" applyAlignment="1">
      <alignment horizontal="right"/>
    </xf>
    <xf numFmtId="2" fontId="5" fillId="0" borderId="13" xfId="0" applyNumberFormat="1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0" fontId="5" fillId="0" borderId="6" xfId="0" applyFont="1" applyBorder="1" applyAlignment="1">
      <alignment horizontal="right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left"/>
    </xf>
    <xf numFmtId="0" fontId="5" fillId="0" borderId="22" xfId="0" applyFont="1" applyBorder="1"/>
    <xf numFmtId="0" fontId="5" fillId="0" borderId="23" xfId="0" applyFont="1" applyBorder="1" applyAlignment="1">
      <alignment horizontal="center"/>
    </xf>
    <xf numFmtId="2" fontId="5" fillId="0" borderId="23" xfId="0" applyNumberFormat="1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0" fontId="3" fillId="0" borderId="28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29" xfId="0" applyFont="1" applyBorder="1"/>
    <xf numFmtId="2" fontId="5" fillId="0" borderId="30" xfId="0" applyNumberFormat="1" applyFont="1" applyBorder="1" applyAlignment="1">
      <alignment horizontal="right"/>
    </xf>
    <xf numFmtId="2" fontId="5" fillId="0" borderId="19" xfId="0" applyNumberFormat="1" applyFont="1" applyBorder="1" applyAlignment="1">
      <alignment horizontal="center"/>
    </xf>
    <xf numFmtId="2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164" fontId="5" fillId="0" borderId="6" xfId="0" applyNumberFormat="1" applyFont="1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left"/>
    </xf>
    <xf numFmtId="0" fontId="5" fillId="0" borderId="33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0" borderId="34" xfId="0" applyFont="1" applyBorder="1" applyAlignment="1">
      <alignment horizontal="right"/>
    </xf>
    <xf numFmtId="0" fontId="5" fillId="0" borderId="19" xfId="0" applyFont="1" applyBorder="1" applyAlignment="1">
      <alignment horizontal="center"/>
    </xf>
    <xf numFmtId="0" fontId="5" fillId="0" borderId="23" xfId="0" applyFont="1" applyBorder="1"/>
    <xf numFmtId="0" fontId="5" fillId="0" borderId="30" xfId="0" applyFont="1" applyBorder="1" applyAlignment="1">
      <alignment horizontal="right"/>
    </xf>
    <xf numFmtId="2" fontId="0" fillId="0" borderId="4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4" fontId="0" fillId="0" borderId="0" xfId="0" applyNumberFormat="1"/>
    <xf numFmtId="164" fontId="5" fillId="0" borderId="12" xfId="0" applyNumberFormat="1" applyFont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5" fillId="0" borderId="32" xfId="0" applyFont="1" applyBorder="1" applyAlignment="1">
      <alignment horizontal="left"/>
    </xf>
    <xf numFmtId="2" fontId="5" fillId="0" borderId="29" xfId="0" applyNumberFormat="1" applyFont="1" applyBorder="1" applyAlignment="1">
      <alignment horizontal="center"/>
    </xf>
    <xf numFmtId="2" fontId="5" fillId="0" borderId="34" xfId="0" applyNumberFormat="1" applyFont="1" applyBorder="1" applyAlignment="1">
      <alignment horizontal="right"/>
    </xf>
    <xf numFmtId="0" fontId="5" fillId="0" borderId="21" xfId="0" applyFont="1" applyBorder="1" applyAlignment="1">
      <alignment horizontal="center"/>
    </xf>
    <xf numFmtId="164" fontId="5" fillId="0" borderId="23" xfId="0" applyNumberFormat="1" applyFont="1" applyBorder="1" applyAlignment="1">
      <alignment horizontal="center"/>
    </xf>
    <xf numFmtId="164" fontId="5" fillId="0" borderId="29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left"/>
    </xf>
    <xf numFmtId="2" fontId="5" fillId="0" borderId="0" xfId="0" applyNumberFormat="1" applyFont="1"/>
    <xf numFmtId="0" fontId="3" fillId="0" borderId="8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3" fillId="0" borderId="21" xfId="0" applyFont="1" applyBorder="1" applyAlignment="1">
      <alignment horizontal="center" vertical="top"/>
    </xf>
    <xf numFmtId="0" fontId="3" fillId="0" borderId="35" xfId="0" applyFont="1" applyBorder="1" applyAlignment="1">
      <alignment horizontal="center" vertical="top"/>
    </xf>
    <xf numFmtId="164" fontId="5" fillId="0" borderId="4" xfId="0" applyNumberFormat="1" applyFont="1" applyBorder="1" applyAlignment="1">
      <alignment horizontal="center"/>
    </xf>
    <xf numFmtId="2" fontId="0" fillId="0" borderId="0" xfId="0" applyNumberFormat="1"/>
    <xf numFmtId="0" fontId="5" fillId="0" borderId="29" xfId="0" applyFont="1" applyBorder="1" applyAlignment="1">
      <alignment horizontal="left"/>
    </xf>
    <xf numFmtId="0" fontId="1" fillId="0" borderId="0" xfId="1" applyAlignment="1" applyProtection="1">
      <alignment horizontal="left"/>
    </xf>
    <xf numFmtId="0" fontId="13" fillId="0" borderId="0" xfId="0" applyFont="1"/>
    <xf numFmtId="0" fontId="13" fillId="0" borderId="0" xfId="0" applyFont="1" applyAlignment="1">
      <alignment horizontal="left"/>
    </xf>
    <xf numFmtId="0" fontId="14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5" fillId="0" borderId="24" xfId="0" applyFont="1" applyBorder="1" applyAlignment="1">
      <alignment horizontal="center" vertical="top"/>
    </xf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36" xfId="0" applyNumberFormat="1" applyBorder="1" applyAlignment="1">
      <alignment horizontal="center" vertical="center"/>
    </xf>
    <xf numFmtId="2" fontId="5" fillId="0" borderId="13" xfId="0" applyNumberFormat="1" applyFont="1" applyBorder="1" applyAlignment="1">
      <alignment horizontal="center"/>
    </xf>
    <xf numFmtId="2" fontId="5" fillId="0" borderId="27" xfId="0" applyNumberFormat="1" applyFont="1" applyBorder="1" applyAlignment="1">
      <alignment horizontal="right"/>
    </xf>
    <xf numFmtId="0" fontId="3" fillId="0" borderId="24" xfId="0" applyFont="1" applyBorder="1" applyAlignment="1">
      <alignment horizontal="center"/>
    </xf>
    <xf numFmtId="0" fontId="5" fillId="0" borderId="37" xfId="0" applyFont="1" applyBorder="1"/>
    <xf numFmtId="0" fontId="5" fillId="0" borderId="38" xfId="0" applyFont="1" applyBorder="1"/>
    <xf numFmtId="0" fontId="5" fillId="0" borderId="15" xfId="0" applyFont="1" applyBorder="1"/>
    <xf numFmtId="0" fontId="5" fillId="0" borderId="11" xfId="0" applyFont="1" applyBorder="1"/>
    <xf numFmtId="0" fontId="5" fillId="0" borderId="27" xfId="0" applyFont="1" applyBorder="1"/>
    <xf numFmtId="0" fontId="0" fillId="0" borderId="5" xfId="0" applyBorder="1"/>
    <xf numFmtId="2" fontId="3" fillId="0" borderId="5" xfId="0" applyNumberFormat="1" applyFont="1" applyBorder="1"/>
    <xf numFmtId="0" fontId="3" fillId="0" borderId="5" xfId="0" applyFont="1" applyBorder="1"/>
    <xf numFmtId="0" fontId="0" fillId="0" borderId="15" xfId="0" applyBorder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0" borderId="25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 wrapText="1"/>
    </xf>
    <xf numFmtId="0" fontId="0" fillId="0" borderId="39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8" fillId="0" borderId="0" xfId="0" applyFont="1"/>
    <xf numFmtId="0" fontId="18" fillId="0" borderId="0" xfId="0" applyFont="1" applyAlignment="1">
      <alignment horizontal="center" vertical="center" wrapText="1"/>
    </xf>
    <xf numFmtId="1" fontId="3" fillId="0" borderId="1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24" xfId="0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43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justify" wrapText="1"/>
    </xf>
    <xf numFmtId="0" fontId="8" fillId="0" borderId="5" xfId="0" applyFont="1" applyBorder="1" applyAlignment="1">
      <alignment horizontal="left" vertical="justify" wrapText="1"/>
    </xf>
    <xf numFmtId="0" fontId="8" fillId="0" borderId="12" xfId="0" applyFont="1" applyBorder="1" applyAlignment="1">
      <alignment horizontal="left" vertical="justify" wrapText="1"/>
    </xf>
    <xf numFmtId="0" fontId="8" fillId="0" borderId="9" xfId="0" applyFont="1" applyBorder="1" applyAlignment="1">
      <alignment horizontal="left" vertical="justify" wrapText="1"/>
    </xf>
    <xf numFmtId="0" fontId="8" fillId="0" borderId="0" xfId="0" applyFont="1" applyAlignment="1">
      <alignment horizontal="left" vertical="justify" wrapText="1"/>
    </xf>
    <xf numFmtId="0" fontId="8" fillId="0" borderId="6" xfId="0" applyFont="1" applyBorder="1" applyAlignment="1">
      <alignment horizontal="left" vertical="justify" wrapText="1"/>
    </xf>
    <xf numFmtId="2" fontId="0" fillId="0" borderId="17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4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3" fillId="0" borderId="43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3" fillId="0" borderId="39" xfId="0" applyFont="1" applyBorder="1" applyAlignment="1">
      <alignment horizontal="left" vertical="center"/>
    </xf>
    <xf numFmtId="0" fontId="3" fillId="0" borderId="40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8" fillId="0" borderId="38" xfId="0" applyFont="1" applyBorder="1" applyAlignment="1">
      <alignment horizontal="left" vertical="justify" wrapText="1"/>
    </xf>
    <xf numFmtId="0" fontId="8" fillId="0" borderId="15" xfId="0" applyFont="1" applyBorder="1" applyAlignment="1">
      <alignment horizontal="left" vertical="justify" wrapText="1"/>
    </xf>
    <xf numFmtId="0" fontId="8" fillId="0" borderId="13" xfId="0" applyFont="1" applyBorder="1" applyAlignment="1">
      <alignment horizontal="left" vertical="justify" wrapText="1"/>
    </xf>
    <xf numFmtId="0" fontId="7" fillId="0" borderId="39" xfId="0" applyFont="1" applyBorder="1" applyAlignment="1">
      <alignment horizontal="left" vertical="justify" wrapText="1"/>
    </xf>
    <xf numFmtId="0" fontId="7" fillId="0" borderId="40" xfId="0" applyFont="1" applyBorder="1" applyAlignment="1">
      <alignment horizontal="left" vertical="justify" wrapText="1"/>
    </xf>
    <xf numFmtId="0" fontId="7" fillId="0" borderId="41" xfId="0" applyFont="1" applyBorder="1" applyAlignment="1">
      <alignment horizontal="left" vertical="justify" wrapText="1"/>
    </xf>
    <xf numFmtId="0" fontId="10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left"/>
    </xf>
    <xf numFmtId="0" fontId="5" fillId="0" borderId="0" xfId="0" applyFont="1" applyAlignment="1">
      <alignment horizontal="left"/>
    </xf>
    <xf numFmtId="164" fontId="10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left"/>
    </xf>
    <xf numFmtId="2" fontId="3" fillId="0" borderId="15" xfId="0" applyNumberFormat="1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0" borderId="8" xfId="0" applyFont="1" applyBorder="1" applyAlignment="1">
      <alignment horizontal="center" vertical="top"/>
    </xf>
    <xf numFmtId="0" fontId="3" fillId="0" borderId="25" xfId="0" applyFont="1" applyBorder="1" applyAlignment="1">
      <alignment horizontal="center" vertical="top"/>
    </xf>
    <xf numFmtId="0" fontId="8" fillId="0" borderId="9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6" xfId="0" applyFont="1" applyBorder="1" applyAlignment="1">
      <alignment horizontal="left" vertical="top" wrapText="1"/>
    </xf>
    <xf numFmtId="0" fontId="8" fillId="0" borderId="38" xfId="0" applyFont="1" applyBorder="1" applyAlignment="1">
      <alignment horizontal="left" vertical="top" wrapText="1"/>
    </xf>
    <xf numFmtId="0" fontId="8" fillId="0" borderId="15" xfId="0" applyFont="1" applyBorder="1" applyAlignment="1">
      <alignment horizontal="left" vertical="top" wrapText="1"/>
    </xf>
    <xf numFmtId="0" fontId="8" fillId="0" borderId="13" xfId="0" applyFont="1" applyBorder="1" applyAlignment="1">
      <alignment horizontal="left" vertical="top" wrapText="1"/>
    </xf>
    <xf numFmtId="0" fontId="18" fillId="0" borderId="0" xfId="0" applyFont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19215"/>
        <c:axId val="1"/>
      </c:barChart>
      <c:catAx>
        <c:axId val="7128192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1281921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5F1A8E2-DA3D-4B2D-A576-1E254D8E1815}">
  <sheetPr/>
  <sheetViews>
    <sheetView zoomScale="86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BBEC43-6873-D8F0-1613-7D5D220A143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ST@18%25%20extr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09BA-3B9B-490F-8641-52476DE61218}">
  <dimension ref="C3:AY347"/>
  <sheetViews>
    <sheetView tabSelected="1" view="pageBreakPreview" topLeftCell="A87" zoomScale="130" zoomScaleNormal="100" zoomScaleSheetLayoutView="130" workbookViewId="0">
      <selection activeCell="I90" sqref="I90"/>
    </sheetView>
  </sheetViews>
  <sheetFormatPr defaultRowHeight="12.75"/>
  <cols>
    <col min="2" max="2" width="3.85546875" customWidth="1"/>
    <col min="3" max="3" width="7.7109375" customWidth="1"/>
    <col min="4" max="4" width="6.7109375" customWidth="1"/>
    <col min="5" max="5" width="7" customWidth="1"/>
    <col min="6" max="6" width="6.85546875" customWidth="1"/>
    <col min="7" max="7" width="8.5703125" customWidth="1"/>
    <col min="8" max="8" width="7.42578125" customWidth="1"/>
    <col min="9" max="9" width="8.85546875" customWidth="1"/>
    <col min="10" max="10" width="7" customWidth="1"/>
    <col min="12" max="12" width="11.42578125" customWidth="1"/>
    <col min="13" max="13" width="12.7109375" customWidth="1"/>
    <col min="14" max="14" width="10.7109375" customWidth="1"/>
    <col min="15" max="16" width="13.85546875" customWidth="1"/>
    <col min="17" max="17" width="11.5703125" customWidth="1"/>
    <col min="18" max="18" width="11.85546875" customWidth="1"/>
    <col min="19" max="22" width="10.140625" customWidth="1"/>
    <col min="23" max="23" width="9.85546875" customWidth="1"/>
    <col min="24" max="24" width="6.28515625" customWidth="1"/>
    <col min="25" max="25" width="9.140625" customWidth="1"/>
    <col min="26" max="26" width="6.28515625" customWidth="1"/>
    <col min="27" max="27" width="6.42578125" customWidth="1"/>
    <col min="28" max="28" width="6.5703125" customWidth="1"/>
    <col min="29" max="29" width="6.42578125" customWidth="1"/>
    <col min="30" max="31" width="6.85546875" customWidth="1"/>
    <col min="32" max="32" width="11.5703125" customWidth="1"/>
    <col min="33" max="33" width="11.140625" customWidth="1"/>
    <col min="34" max="35" width="14.5703125" customWidth="1"/>
    <col min="36" max="36" width="12" customWidth="1"/>
    <col min="37" max="37" width="11.5703125" customWidth="1"/>
    <col min="38" max="38" width="19.85546875" customWidth="1"/>
    <col min="39" max="39" width="17" customWidth="1"/>
    <col min="40" max="40" width="17.140625" customWidth="1"/>
    <col min="41" max="41" width="9.7109375" customWidth="1"/>
    <col min="42" max="42" width="10.7109375" customWidth="1"/>
    <col min="43" max="49" width="9.140625" customWidth="1"/>
    <col min="51" max="51" width="10.7109375" bestFit="1" customWidth="1"/>
  </cols>
  <sheetData>
    <row r="3" spans="6:25">
      <c r="F3" t="e">
        <f>IF(#REF!=0.5,13310,(IF(#REF!=1,15269,(IF(#REF!=1.5,17442,(IF(#REF!=2,18944,(IF(#REF!=3,24102,(IF(#REF!=5,30538,0)))))))))))+IF(#REF!=7.5,42010,(IF(#REF!=10,47850,0)))+IF(#REF!=12.5,73211,(IF(#REF!=15,77352,(IF(#REF!=20,94250,(IF(#REF!=25,106578,(IF(#REF!=30,126677,(IF(#REF!=40,170688,(IF(#REF!=50,222325)))))))))))))</f>
        <v>#REF!</v>
      </c>
    </row>
    <row r="5" spans="6:25">
      <c r="Q5" s="1" t="s">
        <v>0</v>
      </c>
      <c r="R5" s="1"/>
      <c r="S5" s="1" t="s">
        <v>1</v>
      </c>
      <c r="T5" s="1" t="s">
        <v>2</v>
      </c>
      <c r="U5" s="1" t="s">
        <v>3</v>
      </c>
    </row>
    <row r="6" spans="6:25">
      <c r="Q6" s="1"/>
      <c r="R6" s="1"/>
      <c r="S6" s="1"/>
      <c r="T6" s="1"/>
    </row>
    <row r="7" spans="6:25">
      <c r="H7">
        <v>10430</v>
      </c>
      <c r="I7">
        <f>H7*1.28</f>
        <v>13350.4</v>
      </c>
      <c r="L7" s="1" t="s">
        <v>4</v>
      </c>
      <c r="M7" s="1" t="s">
        <v>5</v>
      </c>
      <c r="N7" s="1" t="s">
        <v>6</v>
      </c>
      <c r="O7" s="1" t="s">
        <v>7</v>
      </c>
      <c r="P7" s="1"/>
      <c r="Q7" s="1" t="s">
        <v>8</v>
      </c>
      <c r="R7" s="1" t="s">
        <v>9</v>
      </c>
      <c r="S7" s="1" t="s">
        <v>10</v>
      </c>
      <c r="T7" s="1" t="s">
        <v>9</v>
      </c>
      <c r="U7" s="1" t="s">
        <v>9</v>
      </c>
      <c r="W7" s="1" t="s">
        <v>4</v>
      </c>
      <c r="X7" s="1" t="s">
        <v>5</v>
      </c>
      <c r="Y7" s="1" t="s">
        <v>6</v>
      </c>
    </row>
    <row r="8" spans="6:25">
      <c r="H8">
        <v>11027</v>
      </c>
      <c r="I8">
        <f t="shared" ref="I8:I21" si="0">H8*1.28</f>
        <v>14114.56</v>
      </c>
      <c r="L8" s="1">
        <v>15430</v>
      </c>
      <c r="M8" s="1">
        <v>604</v>
      </c>
      <c r="N8" s="94">
        <f>(L8*0.5+M8)*1.6</f>
        <v>13310.400000000001</v>
      </c>
      <c r="O8">
        <v>10430</v>
      </c>
      <c r="Q8" s="1">
        <v>200</v>
      </c>
      <c r="R8" s="1">
        <f>CEILING(15250*1.16,250)</f>
        <v>17750</v>
      </c>
      <c r="S8" s="1">
        <v>0.5</v>
      </c>
      <c r="T8" s="94">
        <f>N8</f>
        <v>13310.400000000001</v>
      </c>
      <c r="U8" s="94">
        <f>Y8</f>
        <v>5952</v>
      </c>
      <c r="W8" s="1">
        <v>6900</v>
      </c>
      <c r="X8" s="1">
        <v>270</v>
      </c>
      <c r="Y8" s="94">
        <f>(W8*0.5+X8)*1.6</f>
        <v>5952</v>
      </c>
    </row>
    <row r="9" spans="6:25">
      <c r="H9">
        <v>11471</v>
      </c>
      <c r="I9">
        <f t="shared" si="0"/>
        <v>14682.880000000001</v>
      </c>
      <c r="L9" s="1">
        <v>17700</v>
      </c>
      <c r="M9" s="1">
        <v>693</v>
      </c>
      <c r="N9" s="94">
        <f t="shared" ref="N9:N22" si="1">(L9*0.5+M9)*1.6</f>
        <v>15268.800000000001</v>
      </c>
      <c r="O9">
        <v>11027</v>
      </c>
      <c r="Q9" s="1">
        <v>225</v>
      </c>
      <c r="R9" s="1">
        <f>CEILING(16000*1.16,250)</f>
        <v>18750</v>
      </c>
      <c r="S9" s="1">
        <v>1</v>
      </c>
      <c r="T9" s="94">
        <f t="shared" ref="T9:T24" si="2">N9</f>
        <v>15268.800000000001</v>
      </c>
      <c r="U9" s="94">
        <f t="shared" ref="U9:U22" si="3">Y9</f>
        <v>6995.2000000000007</v>
      </c>
      <c r="W9" s="1">
        <v>8110</v>
      </c>
      <c r="X9" s="1">
        <v>317</v>
      </c>
      <c r="Y9" s="94">
        <f t="shared" ref="Y9:Y22" si="4">(W9*0.5+X9)*1.6</f>
        <v>6995.2000000000007</v>
      </c>
    </row>
    <row r="10" spans="6:25">
      <c r="H10">
        <v>12700</v>
      </c>
      <c r="I10">
        <f t="shared" si="0"/>
        <v>16256</v>
      </c>
      <c r="L10" s="1">
        <v>20220</v>
      </c>
      <c r="M10" s="1">
        <v>791</v>
      </c>
      <c r="N10" s="94">
        <f t="shared" si="1"/>
        <v>17441.600000000002</v>
      </c>
      <c r="O10">
        <v>11471</v>
      </c>
      <c r="Q10" s="1">
        <v>250</v>
      </c>
      <c r="R10" s="1">
        <f>CEILING(16750*1.16,250)</f>
        <v>19500</v>
      </c>
      <c r="S10" s="1">
        <v>1.5</v>
      </c>
      <c r="T10" s="94">
        <f t="shared" si="2"/>
        <v>17441.600000000002</v>
      </c>
      <c r="U10" s="94">
        <f t="shared" si="3"/>
        <v>8040</v>
      </c>
      <c r="W10" s="1">
        <v>9320</v>
      </c>
      <c r="X10" s="1">
        <v>365</v>
      </c>
      <c r="Y10" s="94">
        <f t="shared" si="4"/>
        <v>8040</v>
      </c>
    </row>
    <row r="11" spans="6:25">
      <c r="H11">
        <v>13433</v>
      </c>
      <c r="I11">
        <f t="shared" si="0"/>
        <v>17194.240000000002</v>
      </c>
      <c r="L11" s="1">
        <v>21960</v>
      </c>
      <c r="M11" s="1">
        <v>860</v>
      </c>
      <c r="N11" s="94">
        <f t="shared" si="1"/>
        <v>18944</v>
      </c>
      <c r="O11">
        <v>12700</v>
      </c>
      <c r="Q11" s="1">
        <v>280</v>
      </c>
      <c r="R11" s="1">
        <f>CEILING(18000*1.16,250)</f>
        <v>21000</v>
      </c>
      <c r="S11" s="1">
        <v>2</v>
      </c>
      <c r="T11" s="94">
        <f t="shared" si="2"/>
        <v>18944</v>
      </c>
      <c r="U11" s="94">
        <f t="shared" si="3"/>
        <v>8755.2000000000007</v>
      </c>
      <c r="W11" s="1">
        <v>10150</v>
      </c>
      <c r="X11" s="1">
        <v>397</v>
      </c>
      <c r="Y11" s="94">
        <f t="shared" si="4"/>
        <v>8755.2000000000007</v>
      </c>
    </row>
    <row r="12" spans="6:25">
      <c r="H12">
        <v>15385</v>
      </c>
      <c r="I12">
        <f t="shared" si="0"/>
        <v>19692.8</v>
      </c>
      <c r="L12" s="1">
        <v>27940</v>
      </c>
      <c r="M12" s="1">
        <v>1094</v>
      </c>
      <c r="N12" s="94">
        <f t="shared" si="1"/>
        <v>24102.400000000001</v>
      </c>
      <c r="O12">
        <v>13433</v>
      </c>
      <c r="Q12" s="1">
        <v>315</v>
      </c>
      <c r="R12" s="1">
        <f>CEILING(19000*1.16,250)</f>
        <v>22250</v>
      </c>
      <c r="S12" s="1">
        <v>3</v>
      </c>
      <c r="T12" s="94">
        <f t="shared" si="2"/>
        <v>24102.400000000001</v>
      </c>
      <c r="U12" s="94">
        <f t="shared" si="3"/>
        <v>11601.6</v>
      </c>
      <c r="W12" s="1">
        <v>13450</v>
      </c>
      <c r="X12" s="1">
        <v>526</v>
      </c>
      <c r="Y12" s="94">
        <f t="shared" si="4"/>
        <v>11601.6</v>
      </c>
    </row>
    <row r="13" spans="6:25">
      <c r="H13">
        <v>18364</v>
      </c>
      <c r="I13">
        <f t="shared" si="0"/>
        <v>23505.920000000002</v>
      </c>
      <c r="L13" s="1">
        <v>35400</v>
      </c>
      <c r="M13" s="1">
        <v>1386</v>
      </c>
      <c r="N13" s="94">
        <f t="shared" si="1"/>
        <v>30537.600000000002</v>
      </c>
      <c r="O13">
        <v>15385</v>
      </c>
      <c r="Q13" s="1">
        <v>355</v>
      </c>
      <c r="R13" s="1">
        <f>CEILING(21000*1.16,250)</f>
        <v>24500</v>
      </c>
      <c r="S13" s="1">
        <v>5</v>
      </c>
      <c r="T13" s="94">
        <f t="shared" si="2"/>
        <v>30537.600000000002</v>
      </c>
      <c r="U13" s="94">
        <f t="shared" si="3"/>
        <v>14880</v>
      </c>
      <c r="W13" s="1">
        <v>17250</v>
      </c>
      <c r="X13" s="1">
        <v>675</v>
      </c>
      <c r="Y13" s="94">
        <f t="shared" si="4"/>
        <v>14880</v>
      </c>
    </row>
    <row r="14" spans="6:25">
      <c r="H14">
        <v>22486</v>
      </c>
      <c r="I14">
        <f t="shared" si="0"/>
        <v>28782.080000000002</v>
      </c>
      <c r="L14" s="1">
        <v>48700</v>
      </c>
      <c r="M14" s="1">
        <v>1906</v>
      </c>
      <c r="N14" s="94">
        <f t="shared" si="1"/>
        <v>42009.600000000006</v>
      </c>
      <c r="O14">
        <v>18364</v>
      </c>
      <c r="Q14" s="1">
        <v>400</v>
      </c>
      <c r="R14" s="1">
        <f>CEILING(26000*1.16,250)</f>
        <v>30250</v>
      </c>
      <c r="S14" s="1">
        <v>7.5</v>
      </c>
      <c r="T14" s="94">
        <f t="shared" si="2"/>
        <v>42009.600000000006</v>
      </c>
      <c r="U14" s="94">
        <f t="shared" si="3"/>
        <v>20513.600000000002</v>
      </c>
      <c r="W14" s="1">
        <v>23780</v>
      </c>
      <c r="X14" s="1">
        <v>931</v>
      </c>
      <c r="Y14" s="94">
        <f t="shared" si="4"/>
        <v>20513.600000000002</v>
      </c>
    </row>
    <row r="15" spans="6:25">
      <c r="H15">
        <v>27220</v>
      </c>
      <c r="I15">
        <f t="shared" si="0"/>
        <v>34841.599999999999</v>
      </c>
      <c r="L15" s="1">
        <v>55470</v>
      </c>
      <c r="M15" s="1">
        <v>2171</v>
      </c>
      <c r="N15" s="94">
        <f t="shared" si="1"/>
        <v>47849.600000000006</v>
      </c>
      <c r="O15">
        <v>22486</v>
      </c>
      <c r="Q15" s="1">
        <v>450</v>
      </c>
      <c r="R15" s="1">
        <f>CEILING(31000*1.16,250)</f>
        <v>36000</v>
      </c>
      <c r="S15" s="1">
        <v>10</v>
      </c>
      <c r="T15" s="94">
        <f t="shared" si="2"/>
        <v>47849.600000000006</v>
      </c>
      <c r="U15" s="94">
        <f t="shared" si="3"/>
        <v>23904</v>
      </c>
      <c r="W15" s="1">
        <v>27710</v>
      </c>
      <c r="X15" s="1">
        <v>1085</v>
      </c>
      <c r="Y15" s="94">
        <f t="shared" si="4"/>
        <v>23904</v>
      </c>
    </row>
    <row r="16" spans="6:25">
      <c r="H16">
        <v>33269</v>
      </c>
      <c r="I16">
        <f t="shared" si="0"/>
        <v>42584.32</v>
      </c>
      <c r="L16" s="1">
        <v>84870</v>
      </c>
      <c r="M16" s="1">
        <v>3322</v>
      </c>
      <c r="N16" s="94">
        <f t="shared" si="1"/>
        <v>73211.199999999997</v>
      </c>
      <c r="O16">
        <v>27220</v>
      </c>
      <c r="Q16" s="1">
        <v>500</v>
      </c>
      <c r="R16" s="1">
        <f>CEILING(36500*1.16,250)</f>
        <v>42500</v>
      </c>
      <c r="S16" s="1">
        <v>12.5</v>
      </c>
      <c r="T16" s="94">
        <f t="shared" si="2"/>
        <v>73211.199999999997</v>
      </c>
      <c r="U16" s="94">
        <f t="shared" si="3"/>
        <v>38049.599999999999</v>
      </c>
      <c r="W16" s="1">
        <v>44110</v>
      </c>
      <c r="X16" s="1">
        <v>1726</v>
      </c>
      <c r="Y16" s="94">
        <f t="shared" si="4"/>
        <v>38049.599999999999</v>
      </c>
    </row>
    <row r="17" spans="8:25">
      <c r="H17">
        <v>41158</v>
      </c>
      <c r="I17">
        <f t="shared" si="0"/>
        <v>52682.239999999998</v>
      </c>
      <c r="L17" s="1">
        <v>89670</v>
      </c>
      <c r="M17" s="1">
        <v>3510</v>
      </c>
      <c r="N17" s="94">
        <f t="shared" si="1"/>
        <v>77352</v>
      </c>
      <c r="O17">
        <v>33269</v>
      </c>
      <c r="Q17" s="1">
        <v>560</v>
      </c>
      <c r="R17" s="1">
        <f>CEILING(43500*1.16,250)</f>
        <v>50500</v>
      </c>
      <c r="S17" s="1">
        <v>15</v>
      </c>
      <c r="T17" s="94">
        <f t="shared" si="2"/>
        <v>77352</v>
      </c>
      <c r="U17" s="94">
        <f t="shared" si="3"/>
        <v>38308.800000000003</v>
      </c>
      <c r="W17" s="1">
        <v>44410</v>
      </c>
      <c r="X17" s="1">
        <v>1738</v>
      </c>
      <c r="Y17" s="94">
        <f t="shared" si="4"/>
        <v>38308.800000000003</v>
      </c>
    </row>
    <row r="18" spans="8:25">
      <c r="H18">
        <v>53127</v>
      </c>
      <c r="I18">
        <f t="shared" si="0"/>
        <v>68002.559999999998</v>
      </c>
      <c r="L18" s="1">
        <v>109260</v>
      </c>
      <c r="M18" s="1">
        <v>4276</v>
      </c>
      <c r="N18" s="94">
        <f t="shared" si="1"/>
        <v>94249.600000000006</v>
      </c>
      <c r="O18">
        <v>41158</v>
      </c>
      <c r="Q18" s="1">
        <v>630</v>
      </c>
      <c r="R18" s="1">
        <f>CEILING(54500*1.16,250)</f>
        <v>63250</v>
      </c>
      <c r="S18" s="1">
        <v>20</v>
      </c>
      <c r="T18" s="94">
        <f t="shared" si="2"/>
        <v>94249.600000000006</v>
      </c>
      <c r="U18" s="94">
        <f t="shared" si="3"/>
        <v>47617.600000000006</v>
      </c>
      <c r="W18" s="1">
        <v>55200</v>
      </c>
      <c r="X18" s="1">
        <v>2161</v>
      </c>
      <c r="Y18" s="94">
        <f t="shared" si="4"/>
        <v>47617.600000000006</v>
      </c>
    </row>
    <row r="19" spans="8:25">
      <c r="H19">
        <v>76225</v>
      </c>
      <c r="I19">
        <f t="shared" si="0"/>
        <v>97568</v>
      </c>
      <c r="L19" s="1">
        <v>123550</v>
      </c>
      <c r="M19" s="1">
        <v>4836</v>
      </c>
      <c r="N19" s="94">
        <f t="shared" si="1"/>
        <v>106577.60000000001</v>
      </c>
      <c r="O19">
        <v>53127</v>
      </c>
      <c r="Q19" s="1">
        <v>710</v>
      </c>
      <c r="R19" s="1">
        <f>CEILING(78750*1.16,250)</f>
        <v>91500</v>
      </c>
      <c r="S19" s="1">
        <v>25</v>
      </c>
      <c r="T19" s="94">
        <f t="shared" si="2"/>
        <v>106577.60000000001</v>
      </c>
      <c r="U19" s="94">
        <f t="shared" si="3"/>
        <v>67297.600000000006</v>
      </c>
      <c r="W19" s="1">
        <v>78020</v>
      </c>
      <c r="X19" s="1">
        <v>3051</v>
      </c>
      <c r="Y19" s="94">
        <f t="shared" si="4"/>
        <v>67297.600000000006</v>
      </c>
    </row>
    <row r="20" spans="8:25">
      <c r="H20">
        <v>96024</v>
      </c>
      <c r="I20">
        <f t="shared" si="0"/>
        <v>122910.72</v>
      </c>
      <c r="L20" s="1">
        <v>146850</v>
      </c>
      <c r="M20" s="1">
        <v>5748</v>
      </c>
      <c r="N20" s="94">
        <f t="shared" si="1"/>
        <v>126676.8</v>
      </c>
      <c r="O20">
        <v>76225</v>
      </c>
      <c r="Q20" s="1">
        <v>800</v>
      </c>
      <c r="R20" s="1">
        <f>CEILING(116900*1.16,250)</f>
        <v>135750</v>
      </c>
      <c r="S20" s="1">
        <v>30</v>
      </c>
      <c r="T20" s="94">
        <f t="shared" si="2"/>
        <v>126676.8</v>
      </c>
      <c r="U20" s="94">
        <f t="shared" si="3"/>
        <v>71692.800000000003</v>
      </c>
      <c r="W20" s="1">
        <v>83110</v>
      </c>
      <c r="X20" s="1">
        <v>3253</v>
      </c>
      <c r="Y20" s="94">
        <f t="shared" si="4"/>
        <v>71692.800000000003</v>
      </c>
    </row>
    <row r="21" spans="8:25">
      <c r="H21">
        <v>117064</v>
      </c>
      <c r="I21">
        <f t="shared" si="0"/>
        <v>149841.92000000001</v>
      </c>
      <c r="L21" s="1">
        <v>197870</v>
      </c>
      <c r="M21" s="1">
        <v>7745</v>
      </c>
      <c r="N21" s="94">
        <f t="shared" si="1"/>
        <v>170688</v>
      </c>
      <c r="O21">
        <v>96024</v>
      </c>
      <c r="Q21" s="1">
        <v>900</v>
      </c>
      <c r="R21" s="1">
        <f>CEILING(149200*1.16,250)</f>
        <v>173250</v>
      </c>
      <c r="S21" s="1">
        <v>40</v>
      </c>
      <c r="T21" s="94">
        <f t="shared" si="2"/>
        <v>170688</v>
      </c>
      <c r="U21" s="94">
        <f t="shared" si="3"/>
        <v>96787.200000000012</v>
      </c>
      <c r="W21" s="1">
        <v>112200</v>
      </c>
      <c r="X21" s="1">
        <v>4392</v>
      </c>
      <c r="Y21" s="94">
        <f t="shared" si="4"/>
        <v>96787.200000000012</v>
      </c>
    </row>
    <row r="22" spans="8:25">
      <c r="L22" s="1">
        <v>257730</v>
      </c>
      <c r="M22" s="1">
        <v>10088</v>
      </c>
      <c r="N22" s="94">
        <f t="shared" si="1"/>
        <v>222324.80000000002</v>
      </c>
      <c r="O22">
        <v>117064</v>
      </c>
      <c r="Q22" s="1">
        <v>1000</v>
      </c>
      <c r="R22" s="1">
        <f>CEILING(170000*1.16,250)</f>
        <v>197250</v>
      </c>
      <c r="S22" s="1">
        <v>50</v>
      </c>
      <c r="T22" s="94">
        <f t="shared" si="2"/>
        <v>222324.80000000002</v>
      </c>
      <c r="U22" s="94">
        <f t="shared" si="3"/>
        <v>124372.8</v>
      </c>
      <c r="W22" s="1">
        <v>144180</v>
      </c>
      <c r="X22" s="1">
        <v>5643</v>
      </c>
      <c r="Y22" s="94">
        <f t="shared" si="4"/>
        <v>124372.8</v>
      </c>
    </row>
    <row r="23" spans="8:25">
      <c r="L23" s="1"/>
      <c r="M23" s="1"/>
      <c r="N23" s="1"/>
      <c r="Q23" s="1">
        <v>1120</v>
      </c>
      <c r="R23" s="1">
        <f>CEILING(298000*1.16,250)</f>
        <v>345750</v>
      </c>
      <c r="S23" s="1">
        <v>75</v>
      </c>
      <c r="T23" s="94">
        <f t="shared" si="2"/>
        <v>0</v>
      </c>
      <c r="U23" s="1">
        <v>0</v>
      </c>
      <c r="X23" s="1"/>
      <c r="Y23" s="1"/>
    </row>
    <row r="24" spans="8:25">
      <c r="L24" s="1"/>
      <c r="M24" s="1"/>
      <c r="N24" s="1"/>
      <c r="Q24" s="1">
        <v>1250</v>
      </c>
      <c r="R24" s="1">
        <f>CEILING(410000*1.16,250)</f>
        <v>475750</v>
      </c>
      <c r="S24" s="1">
        <v>100</v>
      </c>
      <c r="T24" s="94">
        <f t="shared" si="2"/>
        <v>0</v>
      </c>
      <c r="U24" s="1">
        <v>0</v>
      </c>
      <c r="X24" s="1"/>
      <c r="Y24" s="1"/>
    </row>
    <row r="25" spans="8:25">
      <c r="L25" s="1"/>
      <c r="M25" s="1"/>
      <c r="N25" s="1"/>
      <c r="Q25" s="1">
        <v>1400</v>
      </c>
      <c r="R25" s="1">
        <f>CEILING(480000*1.16,250)</f>
        <v>557000</v>
      </c>
      <c r="S25" s="1"/>
      <c r="T25" s="1"/>
    </row>
    <row r="26" spans="8:25">
      <c r="L26" s="1"/>
      <c r="M26" s="1"/>
      <c r="N26" s="1"/>
    </row>
    <row r="63" spans="3:16" ht="15"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150"/>
    </row>
    <row r="64" spans="3:16" ht="15" customHeight="1"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09"/>
      <c r="P64" s="150"/>
    </row>
    <row r="65" spans="3:40" ht="15" customHeight="1">
      <c r="C65" s="105"/>
      <c r="D65" s="105"/>
      <c r="E65" s="105"/>
      <c r="F65" s="105"/>
      <c r="G65" s="105"/>
      <c r="H65" s="106"/>
      <c r="I65" s="107"/>
      <c r="J65" s="108"/>
      <c r="K65" s="108"/>
      <c r="L65" s="105"/>
      <c r="M65" s="109"/>
      <c r="N65" s="110"/>
      <c r="O65" s="111"/>
      <c r="P65" s="111"/>
    </row>
    <row r="66" spans="3:40" ht="12.75" customHeight="1">
      <c r="C66" s="112"/>
      <c r="D66" s="106"/>
      <c r="E66" s="105"/>
      <c r="F66" s="105"/>
      <c r="G66" s="113"/>
      <c r="H66" s="112"/>
      <c r="I66" s="114"/>
      <c r="J66" s="114"/>
      <c r="K66" s="114"/>
      <c r="L66" s="112"/>
      <c r="M66" s="115"/>
      <c r="N66" s="110"/>
      <c r="O66" s="110"/>
      <c r="P66" s="110"/>
    </row>
    <row r="67" spans="3:40" ht="15" hidden="1" customHeight="1">
      <c r="C67" s="169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7"/>
      <c r="O67" s="7"/>
      <c r="P67" s="7"/>
    </row>
    <row r="68" spans="3:40" ht="15" hidden="1" customHeight="1"/>
    <row r="69" spans="3:40" ht="5.25" customHeight="1">
      <c r="C69" s="169"/>
      <c r="D69" s="170"/>
      <c r="E69" s="170"/>
      <c r="F69" s="170"/>
      <c r="G69" s="170"/>
      <c r="H69" s="170"/>
      <c r="I69" s="170"/>
      <c r="J69" s="170"/>
      <c r="K69" s="170"/>
      <c r="L69" s="170"/>
      <c r="M69" s="170"/>
      <c r="N69" s="7"/>
      <c r="O69" s="7"/>
      <c r="P69" s="7"/>
    </row>
    <row r="70" spans="3:40" ht="15">
      <c r="C70" s="10" t="s">
        <v>11</v>
      </c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7"/>
      <c r="O70" s="7"/>
      <c r="P70" s="7"/>
    </row>
    <row r="71" spans="3:40" ht="5.25" customHeight="1" thickBot="1"/>
    <row r="72" spans="3:40">
      <c r="C72" s="171" t="s">
        <v>12</v>
      </c>
      <c r="D72" s="173" t="s">
        <v>13</v>
      </c>
      <c r="E72" s="173"/>
      <c r="F72" s="173"/>
      <c r="G72" s="173"/>
      <c r="H72" s="173"/>
      <c r="I72" s="173"/>
      <c r="J72" s="173" t="s">
        <v>14</v>
      </c>
      <c r="K72" s="173" t="s">
        <v>15</v>
      </c>
      <c r="L72" s="173" t="s">
        <v>16</v>
      </c>
      <c r="M72" s="173"/>
      <c r="N72" s="173" t="s">
        <v>17</v>
      </c>
      <c r="O72" s="175"/>
      <c r="P72" s="132"/>
    </row>
    <row r="73" spans="3:40" ht="13.5" thickBot="1">
      <c r="C73" s="172"/>
      <c r="D73" s="174"/>
      <c r="E73" s="174"/>
      <c r="F73" s="174"/>
      <c r="G73" s="174"/>
      <c r="H73" s="174"/>
      <c r="I73" s="174"/>
      <c r="J73" s="174"/>
      <c r="K73" s="174"/>
      <c r="L73" s="8" t="s">
        <v>9</v>
      </c>
      <c r="M73" s="8" t="s">
        <v>18</v>
      </c>
      <c r="N73" s="8" t="s">
        <v>9</v>
      </c>
      <c r="O73" s="9" t="s">
        <v>18</v>
      </c>
      <c r="P73" s="132"/>
      <c r="Q73" s="1"/>
      <c r="R73" s="1"/>
      <c r="S73" s="1"/>
      <c r="T73" s="1"/>
      <c r="U73" s="1"/>
      <c r="V73" s="1"/>
      <c r="W73" s="1"/>
      <c r="X73" s="1"/>
      <c r="Y73" s="1"/>
    </row>
    <row r="74" spans="3:40">
      <c r="C74" s="85" t="s">
        <v>19</v>
      </c>
      <c r="D74" s="176" t="s">
        <v>20</v>
      </c>
      <c r="E74" s="177"/>
      <c r="F74" s="177"/>
      <c r="G74" s="177"/>
      <c r="H74" s="177"/>
      <c r="I74" s="178"/>
      <c r="J74" s="45"/>
      <c r="K74" s="45"/>
      <c r="L74" s="45"/>
      <c r="M74" s="45"/>
      <c r="N74" s="45"/>
      <c r="O74" s="46"/>
      <c r="P74" s="132"/>
      <c r="Q74" s="1"/>
      <c r="R74" s="1"/>
      <c r="S74" s="1"/>
      <c r="T74" s="1"/>
      <c r="U74" s="1"/>
      <c r="V74" s="1"/>
      <c r="W74" s="1"/>
      <c r="X74" s="1"/>
      <c r="Y74" s="1"/>
    </row>
    <row r="75" spans="3:40">
      <c r="C75" s="97" t="s">
        <v>21</v>
      </c>
      <c r="D75" s="179" t="s">
        <v>22</v>
      </c>
      <c r="E75" s="180"/>
      <c r="F75" s="180"/>
      <c r="G75" s="180"/>
      <c r="H75" s="180"/>
      <c r="I75" s="181"/>
      <c r="J75" s="12"/>
      <c r="K75" s="12"/>
      <c r="L75" s="78"/>
      <c r="M75" s="78"/>
      <c r="N75" s="78"/>
      <c r="O75" s="79"/>
      <c r="P75" s="134"/>
      <c r="AM75" s="83"/>
      <c r="AN75" s="83"/>
    </row>
    <row r="76" spans="3:40" ht="12.75" customHeight="1">
      <c r="C76" s="98"/>
      <c r="D76" s="162" t="s">
        <v>23</v>
      </c>
      <c r="E76" s="163"/>
      <c r="F76" s="163"/>
      <c r="G76" s="163"/>
      <c r="H76" s="163"/>
      <c r="I76" s="164"/>
      <c r="J76" s="12"/>
      <c r="K76" s="12"/>
      <c r="L76" s="78"/>
      <c r="M76" s="78"/>
      <c r="N76" s="78"/>
      <c r="O76" s="79"/>
      <c r="P76" s="134"/>
      <c r="AM76" s="83"/>
      <c r="AN76" s="83"/>
    </row>
    <row r="77" spans="3:40" ht="12.75" customHeight="1">
      <c r="C77" s="98"/>
      <c r="D77" s="165"/>
      <c r="E77" s="166"/>
      <c r="F77" s="166"/>
      <c r="G77" s="166"/>
      <c r="H77" s="166"/>
      <c r="I77" s="167"/>
      <c r="J77" s="12"/>
      <c r="K77" s="12"/>
      <c r="L77" s="78"/>
      <c r="M77" s="78"/>
      <c r="N77" s="78"/>
      <c r="O77" s="79"/>
      <c r="P77" s="134"/>
      <c r="AM77" s="83"/>
      <c r="AN77" s="83"/>
    </row>
    <row r="78" spans="3:40" ht="12.75" customHeight="1">
      <c r="C78" s="98"/>
      <c r="D78" s="165"/>
      <c r="E78" s="166"/>
      <c r="F78" s="166"/>
      <c r="G78" s="166"/>
      <c r="H78" s="166"/>
      <c r="I78" s="167"/>
      <c r="J78" s="12"/>
      <c r="K78" s="12"/>
      <c r="L78" s="78"/>
      <c r="M78" s="78"/>
      <c r="N78" s="78"/>
      <c r="O78" s="79"/>
      <c r="P78" s="134"/>
      <c r="AM78" s="83"/>
      <c r="AN78" s="83"/>
    </row>
    <row r="79" spans="3:40" ht="12.75" customHeight="1">
      <c r="C79" s="98"/>
      <c r="D79" s="165"/>
      <c r="E79" s="166"/>
      <c r="F79" s="166"/>
      <c r="G79" s="166"/>
      <c r="H79" s="166"/>
      <c r="I79" s="167"/>
      <c r="J79" s="12"/>
      <c r="K79" s="12"/>
      <c r="L79" s="78"/>
      <c r="M79" s="78"/>
      <c r="N79" s="78"/>
      <c r="O79" s="79"/>
      <c r="P79" s="134"/>
      <c r="AM79" s="83"/>
      <c r="AN79" s="83"/>
    </row>
    <row r="80" spans="3:40" ht="12.75" customHeight="1">
      <c r="C80" s="98"/>
      <c r="D80" s="165"/>
      <c r="E80" s="166"/>
      <c r="F80" s="166"/>
      <c r="G80" s="166"/>
      <c r="H80" s="166"/>
      <c r="I80" s="167"/>
      <c r="J80" s="12"/>
      <c r="K80" s="12"/>
      <c r="L80" s="78"/>
      <c r="M80" s="78"/>
      <c r="N80" s="78"/>
      <c r="O80" s="79"/>
      <c r="P80" s="134"/>
      <c r="AM80" s="83"/>
      <c r="AN80" s="83"/>
    </row>
    <row r="81" spans="3:51" ht="12.75" customHeight="1">
      <c r="C81" s="98"/>
      <c r="D81" s="165"/>
      <c r="E81" s="166"/>
      <c r="F81" s="166"/>
      <c r="G81" s="166"/>
      <c r="H81" s="166"/>
      <c r="I81" s="167"/>
      <c r="J81" s="12"/>
      <c r="K81" s="12"/>
      <c r="L81" s="78"/>
      <c r="M81" s="78"/>
      <c r="N81" s="78"/>
      <c r="O81" s="79"/>
      <c r="P81" s="134"/>
      <c r="AM81" s="83"/>
      <c r="AN81" s="83"/>
    </row>
    <row r="82" spans="3:51" ht="12.75" customHeight="1">
      <c r="C82" s="98"/>
      <c r="D82" s="165"/>
      <c r="E82" s="166"/>
      <c r="F82" s="166"/>
      <c r="G82" s="166"/>
      <c r="H82" s="166"/>
      <c r="I82" s="167"/>
      <c r="J82" s="12"/>
      <c r="K82" s="12"/>
      <c r="L82" s="78"/>
      <c r="M82" s="78"/>
      <c r="N82" s="78"/>
      <c r="O82" s="79"/>
      <c r="P82" s="134"/>
      <c r="AM82" s="83"/>
      <c r="AN82" s="83"/>
    </row>
    <row r="83" spans="3:51" ht="12.75" customHeight="1">
      <c r="C83" s="98"/>
      <c r="D83" s="165"/>
      <c r="E83" s="166"/>
      <c r="F83" s="166"/>
      <c r="G83" s="166"/>
      <c r="H83" s="166"/>
      <c r="I83" s="167"/>
      <c r="J83" s="12"/>
      <c r="K83" s="12"/>
      <c r="L83" s="78"/>
      <c r="M83" s="78"/>
      <c r="N83" s="78"/>
      <c r="O83" s="79"/>
      <c r="P83" s="134"/>
      <c r="AM83" s="83"/>
      <c r="AN83" s="83"/>
    </row>
    <row r="84" spans="3:51" ht="12.75" customHeight="1">
      <c r="C84" s="98"/>
      <c r="D84" s="165"/>
      <c r="E84" s="166"/>
      <c r="F84" s="166"/>
      <c r="G84" s="166"/>
      <c r="H84" s="166"/>
      <c r="I84" s="167"/>
      <c r="J84" s="12"/>
      <c r="K84" s="12"/>
      <c r="L84" s="78"/>
      <c r="M84" s="78"/>
      <c r="N84" s="78"/>
      <c r="O84" s="79"/>
      <c r="P84" s="134"/>
      <c r="AM84" s="83"/>
      <c r="AN84" s="83"/>
    </row>
    <row r="85" spans="3:51" ht="12.75" customHeight="1">
      <c r="C85" s="98"/>
      <c r="D85" s="165"/>
      <c r="E85" s="166"/>
      <c r="F85" s="166"/>
      <c r="G85" s="166"/>
      <c r="H85" s="166"/>
      <c r="I85" s="167"/>
      <c r="J85" s="12"/>
      <c r="K85" s="12"/>
      <c r="L85" s="78"/>
      <c r="M85" s="78"/>
      <c r="N85" s="78"/>
      <c r="O85" s="79"/>
      <c r="P85" s="134"/>
      <c r="AM85" s="83"/>
      <c r="AN85" s="83"/>
    </row>
    <row r="86" spans="3:51" ht="87" customHeight="1">
      <c r="C86" s="98"/>
      <c r="D86" s="182"/>
      <c r="E86" s="183"/>
      <c r="F86" s="183"/>
      <c r="G86" s="183"/>
      <c r="H86" s="183"/>
      <c r="I86" s="184"/>
      <c r="J86" s="12"/>
      <c r="K86" s="12"/>
      <c r="L86" s="78"/>
      <c r="M86" s="78"/>
      <c r="N86" s="78"/>
      <c r="O86" s="79"/>
      <c r="P86" s="134"/>
      <c r="AM86" s="83"/>
      <c r="AN86" s="83"/>
    </row>
    <row r="87" spans="3:51" ht="15">
      <c r="C87" s="98"/>
      <c r="D87" s="185" t="s">
        <v>24</v>
      </c>
      <c r="E87" s="186"/>
      <c r="F87" s="186"/>
      <c r="G87" s="186"/>
      <c r="H87" s="186"/>
      <c r="I87" s="187"/>
      <c r="J87" s="12"/>
      <c r="K87" s="12"/>
      <c r="L87" s="78"/>
      <c r="M87" s="78"/>
      <c r="N87" s="78"/>
      <c r="O87" s="79"/>
      <c r="P87" s="134"/>
      <c r="AM87" s="83"/>
      <c r="AN87" s="83"/>
    </row>
    <row r="88" spans="3:51" ht="25.5">
      <c r="C88" s="98"/>
      <c r="D88" s="5" t="s">
        <v>25</v>
      </c>
      <c r="E88" s="5" t="s">
        <v>26</v>
      </c>
      <c r="F88" s="5" t="s">
        <v>27</v>
      </c>
      <c r="G88" s="5" t="s">
        <v>28</v>
      </c>
      <c r="H88" s="5" t="s">
        <v>29</v>
      </c>
      <c r="I88" s="5" t="s">
        <v>30</v>
      </c>
      <c r="J88" s="12"/>
      <c r="K88" s="12"/>
      <c r="L88" s="78"/>
      <c r="M88" s="78"/>
      <c r="N88" s="78"/>
      <c r="O88" s="79"/>
      <c r="P88" s="134"/>
      <c r="AM88" s="83"/>
      <c r="AN88" s="83"/>
    </row>
    <row r="89" spans="3:51">
      <c r="C89" s="154" t="s">
        <v>31</v>
      </c>
      <c r="D89" s="5">
        <f>IF(G89&lt;=2000,950,(IF(G89&lt;=3000,1150,(IF(G89&lt;=8000,1550,(IF(G89&lt;=10000,1750,(IF(G89&lt;=18000,2050,(IF(G89&lt;=32000,2900,(IF(G89&lt;=40000,3600,4000)))))))))))))</f>
        <v>1550</v>
      </c>
      <c r="E89" s="5">
        <f>IF(G89&lt;=2000,950,(IF(G89&lt;=4000,1100,(IF(G89&lt;=6000,1250,(IF(G89&lt;=10000,1550,(IF(G89&lt;=15000,1750,(IF(G89&lt;=24000,2050,(IF(G89&lt;=40000,2900,3600)))))))))))))</f>
        <v>1250</v>
      </c>
      <c r="F89" s="5">
        <f>H89+I89+G90+300</f>
        <v>4800</v>
      </c>
      <c r="G89" s="6">
        <v>6000</v>
      </c>
      <c r="H89" s="5">
        <f>IF(D90&lt;=315,1600,(IF(D90=355,1650,(IF(D90=400,1650,(IF(D90=450,1700,(IF(D90=500,1700,(IF(D90=560,1800,(IF(D90=630,2000,(IF(D90=710,2200,2500)))))))))))))))</f>
        <v>1700</v>
      </c>
      <c r="I89" s="5">
        <f>IF(H90=2,1800,(IF(H90=3,2300,(IF(H90=4,3300,0)))))</f>
        <v>1800</v>
      </c>
      <c r="J89" s="156" t="s">
        <v>32</v>
      </c>
      <c r="K89" s="156">
        <v>2</v>
      </c>
      <c r="L89" s="157">
        <f>Q89*0.9</f>
        <v>601200</v>
      </c>
      <c r="M89" s="157">
        <f>L89*K89</f>
        <v>1202400</v>
      </c>
      <c r="N89" s="157">
        <f>Q89*0.1</f>
        <v>66800</v>
      </c>
      <c r="O89" s="168">
        <f>N89*K89</f>
        <v>133600</v>
      </c>
      <c r="P89" s="168">
        <v>890750</v>
      </c>
      <c r="Q89" s="158">
        <f>CEILING((S89+T89+U89+V89+W89),250)</f>
        <v>668000</v>
      </c>
      <c r="R89" s="158">
        <v>625</v>
      </c>
      <c r="S89" s="158">
        <f>(D89*E89*3*10.76+D89*F89*2*10.76+E89*F89*2*10.76)*R89/(1000*1000)</f>
        <v>219857.0625</v>
      </c>
      <c r="T89" s="158">
        <f>F90*4*1050</f>
        <v>252000</v>
      </c>
      <c r="U89" s="153">
        <f>IF(G89&lt;=2000,5000,(IF(G89&lt;=5000,8000,(IF(G89&lt;=10000,10000,(IF(G89&lt;=18000,15000,(IF(G89&lt;=40000,20000,10000)))))))))</f>
        <v>10000</v>
      </c>
      <c r="V89" s="153">
        <f>IF(X89=200,17150,(IF(X89=225,18150,(IF(X89=250,18900,(IF(X89=280,19150,(IF(X89=315,19650,(IF(X89=355,21900,(IF(X89=400,24400,0)))))))))))))+IF(X89=450,31000,(IF(X89=500,37450,(IF(X89=560,45650,(IF(X89=630,58900,(IF(X89=710,77950,0)))))))))+IF(X89=800,119650,(IF(X89=900,153300,(IF(X89=1000,178900,(IF(X89=1120,286500,(IF(X89=1250,394500,(IF(X89=1450,461500,0)))))))))))</f>
        <v>31000</v>
      </c>
      <c r="W89" s="158">
        <f>IF(E90=0.5,16600,(IF(E90=1,19050,(IF(E90=1.5,21750,(IF(E90=2,23600,(IF(E90=3,30000,(IF(E90=5,38000,0)))))))))))*1.2+IF(E90=7.5,52300,(IF(E90=10,59600,0)))*1.2+IF(E90=12.5,100350,(IF(E90=15,106000,(IF(E90=20,129150,(IF(E90=25,146050,(IF(E90=30,173600,(IF(E90=40,233900,(IF(E90=50,304650)))))))))))))*1.2</f>
        <v>154980</v>
      </c>
      <c r="X89" s="153">
        <f>IF(G89&lt;=5250,Z89,Y89)</f>
        <v>450</v>
      </c>
      <c r="Y89" s="153">
        <f>IF(G89&lt;=6750,450,(IF(G89&lt;=8500,500,(IF(G89&lt;=10750,560,(IF(G89&lt;=13500,630,(IF(G89&lt;=17000,710,(IF(G89&lt;=21500,800,(IF(G89&lt;=27000,900,(IF(G89&lt;=34000,1000,0)))))))))))))))</f>
        <v>450</v>
      </c>
      <c r="Z89" s="153">
        <f>IF(G89&lt;=1300,200,(IF(G89&lt;=1600,225,(IF(G89&lt;=2100,250,(IF(G89&lt;=2700,280,(IF(G89&lt;=3450,315,(IF(G89&lt;=4250,355,(IF(G89&lt;=5250,400,(IF(G89&lt;=6750,450,0)))))))))))))))</f>
        <v>450</v>
      </c>
      <c r="AA89" s="153">
        <f>IF(G89&lt;=2000,5000,(IF(G89&lt;=5000,8000,(IF(G89&lt;=10000,10000,(IF(G89&lt;=18000,15000,(IF(G89&lt;=40000,20000,10000)))))))))</f>
        <v>10000</v>
      </c>
      <c r="AB89" s="153">
        <f>IF(D89=950,2,(IF(D89=1150,3,(IF(D89=1550,4,(IF(D89=1750,5,(IF(D89=2050,6,(IF(D89=2900,8,(IF(D89=3600,10,1)))))))))))))</f>
        <v>4</v>
      </c>
      <c r="AC89" s="153">
        <f>IF(E89=950,2,(IF(E89=1100,2,(IF(E89=1250,3,(IF(E89=1550,4,(IF(E89=1750,5,(IF(E89=2050,6,(IF(E89=2900,8,(IF(E89=3600,10,1)))))))))))))))</f>
        <v>3</v>
      </c>
      <c r="AD89" s="153">
        <f>AC89*AB89</f>
        <v>12</v>
      </c>
      <c r="AE89" s="153">
        <v>150</v>
      </c>
      <c r="AF89" s="153">
        <f>CEILING((SQRT(G89/1000))*4*2*AE89*1.25*K89,100)</f>
        <v>7400</v>
      </c>
      <c r="AG89" s="153"/>
      <c r="AH89" s="153">
        <f>AC89*AB89</f>
        <v>12</v>
      </c>
      <c r="AI89" s="153">
        <f>AC89*AB89</f>
        <v>12</v>
      </c>
      <c r="AJ89" s="153">
        <f>AC89*AB89</f>
        <v>12</v>
      </c>
      <c r="AK89" s="153">
        <f>AB89*AC89</f>
        <v>12</v>
      </c>
      <c r="AL89" s="153"/>
      <c r="AM89" s="152">
        <f>(G89*2.2/1100)</f>
        <v>12.000000000000002</v>
      </c>
      <c r="AN89" s="152">
        <f>(G89*1/1100)</f>
        <v>5.4545454545454541</v>
      </c>
      <c r="AX89" s="153"/>
      <c r="AY89" s="211"/>
    </row>
    <row r="90" spans="3:51">
      <c r="C90" s="155"/>
      <c r="D90" s="5">
        <f>IF(G89&lt;=5250,Z89,Y89)</f>
        <v>450</v>
      </c>
      <c r="E90" s="5">
        <v>20</v>
      </c>
      <c r="F90" s="5">
        <v>60</v>
      </c>
      <c r="G90" s="5">
        <f>IF(I90=4,600,(IF(I90=6,800,(IF(I90=8,1000,1200)))))</f>
        <v>1000</v>
      </c>
      <c r="H90" s="5">
        <v>2</v>
      </c>
      <c r="I90" s="5">
        <f>IF((D89-250)*(E89-150)*10.76/(1000*1000)&gt;=F90,4,(IF(((D89-250)*(E89-150)*10.76*1.5/(1000*1000))&gt;=F90,6,(IF(((D89-250)*(E89-150)*2*10.76/(1000*1000))&gt;=F90,8,8)))))</f>
        <v>8</v>
      </c>
      <c r="J90" s="156"/>
      <c r="K90" s="156"/>
      <c r="L90" s="157"/>
      <c r="M90" s="157"/>
      <c r="N90" s="157"/>
      <c r="O90" s="168"/>
      <c r="P90" s="168"/>
      <c r="Q90" s="158"/>
      <c r="R90" s="158"/>
      <c r="S90" s="158"/>
      <c r="T90" s="158"/>
      <c r="U90" s="153"/>
      <c r="V90" s="153"/>
      <c r="W90" s="158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3"/>
      <c r="AL90" s="153"/>
      <c r="AM90" s="152"/>
      <c r="AN90" s="152"/>
      <c r="AX90" s="153"/>
      <c r="AY90" s="210"/>
    </row>
    <row r="91" spans="3:51">
      <c r="C91" s="154" t="s">
        <v>33</v>
      </c>
      <c r="D91" s="5">
        <f>IF(G91&lt;=2000,950,(IF(G91&lt;=3000,1150,(IF(G91&lt;=8000,1550,(IF(G91&lt;=10000,1750,(IF(G91&lt;=18000,2050,(IF(G91&lt;=32000,2900,(IF(G91&lt;=40000,3600,4000)))))))))))))</f>
        <v>2050</v>
      </c>
      <c r="E91" s="5">
        <f>IF(G91&lt;=2000,950,(IF(G91&lt;=4000,1100,(IF(G91&lt;=6000,1250,(IF(G91&lt;=10000,1550,(IF(G91&lt;=15000,1750,(IF(G91&lt;=24000,2050,(IF(G91&lt;=40000,2900,3600)))))))))))))</f>
        <v>1750</v>
      </c>
      <c r="F91" s="5">
        <f>H91+I91+G92+300</f>
        <v>6400</v>
      </c>
      <c r="G91" s="151">
        <v>10000.1</v>
      </c>
      <c r="H91" s="5">
        <f>IF(D92&lt;=315,1600,(IF(D92=355,1650,(IF(D92=400,1650,(IF(D92=450,1700,(IF(D92=500,1700,(IF(D92=560,1800,(IF(D92=630,2000,(IF(D92=710,2200,2500)))))))))))))))</f>
        <v>1800</v>
      </c>
      <c r="I91" s="5">
        <f>IF(H92=2,1800,(IF(H92=3,2300,(IF(H92=4,3300,0)))))</f>
        <v>3300</v>
      </c>
      <c r="J91" s="156" t="s">
        <v>32</v>
      </c>
      <c r="K91" s="156">
        <v>2</v>
      </c>
      <c r="L91" s="157">
        <f>Q91*0.9</f>
        <v>713925</v>
      </c>
      <c r="M91" s="157">
        <f>L91*K91</f>
        <v>1427850</v>
      </c>
      <c r="N91" s="157">
        <f>Q91*0.1</f>
        <v>79325</v>
      </c>
      <c r="O91" s="168">
        <f>N91*K91</f>
        <v>158650</v>
      </c>
      <c r="P91" s="168">
        <v>793250</v>
      </c>
      <c r="Q91" s="158">
        <f>CEILING((S91+T91+U91+V91+W91),250)</f>
        <v>793250</v>
      </c>
      <c r="R91" s="158">
        <v>625</v>
      </c>
      <c r="S91" s="158">
        <f>(D91*E91*3*10.76+D91*F91*2*10.76+E91*F91*2*10.76)*R91/(1000*1000)</f>
        <v>399481.8125</v>
      </c>
      <c r="T91" s="158">
        <f>F92*4*1050</f>
        <v>205800</v>
      </c>
      <c r="U91" s="153">
        <f>IF(G91&lt;=2000,5000,(IF(G91&lt;=5000,8000,(IF(G91&lt;=10000,10000,(IF(G91&lt;=18000,15000,(IF(G91&lt;=40000,20000,10000)))))))))</f>
        <v>15000</v>
      </c>
      <c r="V91" s="153">
        <f>IF(X91=200,17150,(IF(X91=225,18150,(IF(X91=250,18900,(IF(X91=280,19150,(IF(X91=315,19650,(IF(X91=355,21900,(IF(X91=400,24400,0)))))))))))))+IF(X91=450,31000,(IF(X91=500,37450,(IF(X91=560,45650,(IF(X91=630,58900,(IF(X91=710,77950,0)))))))))+IF(X91=800,119650,(IF(X91=900,153300,(IF(X91=1000,178900,(IF(X91=1120,286500,(IF(X91=1250,394500,(IF(X91=1450,461500,0)))))))))))</f>
        <v>45650</v>
      </c>
      <c r="W91" s="158">
        <f>IF(E92=0.5,16600,(IF(E92=1,19050,(IF(E92=1.5,21750,(IF(E92=2,23600,(IF(E92=3,30000,(IF(E92=5,38000,0)))))))))))*1.2+IF(E92=7.5,52300,(IF(E92=10,59600,0)))*1.2+IF(E92=12.5,100350,(IF(E92=15,106000,(IF(E92=20,129150,(IF(E92=25,146050,(IF(E92=30,173600,(IF(E92=40,233900,(IF(E92=50,304650)))))))))))))*1.2</f>
        <v>127200</v>
      </c>
      <c r="X91" s="153">
        <f>IF(G91&lt;=5250,Z91,Y91)</f>
        <v>560</v>
      </c>
      <c r="Y91" s="153">
        <f>IF(G91&lt;=6750,450,(IF(G91&lt;=8500,500,(IF(G91&lt;=10750,560,(IF(G91&lt;=13500,630,(IF(G91&lt;=17000,710,(IF(G91&lt;=21500,800,(IF(G91&lt;=27000,900,(IF(G91&lt;=34000,1000,0)))))))))))))))</f>
        <v>560</v>
      </c>
      <c r="Z91" s="153">
        <f>IF(G91&lt;=1300,200,(IF(G91&lt;=1600,225,(IF(G91&lt;=2100,250,(IF(G91&lt;=2700,280,(IF(G91&lt;=3450,315,(IF(G91&lt;=4250,355,(IF(G91&lt;=5250,400,(IF(G91&lt;=6750,450,0)))))))))))))))</f>
        <v>0</v>
      </c>
      <c r="AA91" s="153">
        <f>IF(G91&lt;=2000,5000,(IF(G91&lt;=5000,8000,(IF(G91&lt;=10000,10000,(IF(G91&lt;=18000,15000,(IF(G91&lt;=40000,20000,10000)))))))))</f>
        <v>15000</v>
      </c>
      <c r="AB91" s="153">
        <f>IF(D91=950,2,(IF(D91=1150,3,(IF(D91=1550,4,(IF(D91=1750,5,(IF(D91=2050,6,(IF(D91=2900,8,(IF(D91=3600,10,1)))))))))))))</f>
        <v>6</v>
      </c>
      <c r="AC91" s="153">
        <f>IF(E91=950,2,(IF(E91=1100,2,(IF(E91=1250,3,(IF(E91=1550,4,(IF(E91=1750,5,(IF(E91=2050,6,(IF(E91=2900,8,(IF(E91=3600,10,1)))))))))))))))</f>
        <v>5</v>
      </c>
      <c r="AD91" s="153">
        <f>AC91*AB91</f>
        <v>30</v>
      </c>
      <c r="AE91" s="153">
        <v>150</v>
      </c>
      <c r="AF91" s="153">
        <f>CEILING((SQRT(G91/1000))*4*2*AE91*1.25*K91,100)</f>
        <v>9500</v>
      </c>
      <c r="AG91" s="153"/>
      <c r="AH91" s="153">
        <f>AC91*AB91</f>
        <v>30</v>
      </c>
      <c r="AI91" s="153">
        <f>AC91*AB91</f>
        <v>30</v>
      </c>
      <c r="AJ91" s="153">
        <f>AC91*AB91</f>
        <v>30</v>
      </c>
      <c r="AK91" s="153">
        <f>AB91*AC91</f>
        <v>30</v>
      </c>
      <c r="AL91" s="153"/>
      <c r="AM91" s="152">
        <f>(G91*2.2/1100)</f>
        <v>20.0002</v>
      </c>
      <c r="AN91" s="152">
        <f>(G91*1/1100)</f>
        <v>9.0910000000000011</v>
      </c>
      <c r="AX91" s="153"/>
      <c r="AY91" s="210"/>
    </row>
    <row r="92" spans="3:51">
      <c r="C92" s="155"/>
      <c r="D92" s="5">
        <f>IF(G91&lt;=5250,Z91,Y91)</f>
        <v>560</v>
      </c>
      <c r="E92" s="5">
        <v>15</v>
      </c>
      <c r="F92" s="5">
        <v>49</v>
      </c>
      <c r="G92" s="5">
        <f>IF(I92=4,600,(IF(I92=6,800,(IF(I92=8,1000,1200)))))</f>
        <v>1000</v>
      </c>
      <c r="H92" s="5">
        <v>4</v>
      </c>
      <c r="I92" s="5">
        <f>IF((D91-250)*(E91-150)*10.76/(1000*1000)&gt;=F92,4,(IF(((D91-250)*(E91-150)*10.76*1.5/(1000*1000))&gt;=F92,6,(IF(((D91-250)*(E91-150)*2*10.76/(1000*1000))&gt;=F92,8,0)))))</f>
        <v>8</v>
      </c>
      <c r="J92" s="156"/>
      <c r="K92" s="156"/>
      <c r="L92" s="157"/>
      <c r="M92" s="157"/>
      <c r="N92" s="157"/>
      <c r="O92" s="168"/>
      <c r="P92" s="168"/>
      <c r="Q92" s="158"/>
      <c r="R92" s="158"/>
      <c r="S92" s="158"/>
      <c r="T92" s="158"/>
      <c r="U92" s="153"/>
      <c r="V92" s="153"/>
      <c r="W92" s="158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  <c r="AL92" s="153"/>
      <c r="AM92" s="152"/>
      <c r="AN92" s="152"/>
      <c r="AX92" s="153"/>
      <c r="AY92" s="210"/>
    </row>
    <row r="93" spans="3:51">
      <c r="C93" s="154" t="s">
        <v>34</v>
      </c>
      <c r="D93" s="5">
        <f>IF(G93&lt;=2000,950,(IF(G93&lt;=3000,1150,(IF(G93&lt;=8000,1550,(IF(G93&lt;=10000,1750,(IF(G93&lt;=18000,2050,(IF(G93&lt;=32000,2900,(IF(G93&lt;=40000,3600,4000)))))))))))))</f>
        <v>1150</v>
      </c>
      <c r="E93" s="5">
        <f>IF(G93&lt;=2000,950,(IF(G93&lt;=4000,1100,(IF(G93&lt;=6000,1250,(IF(G93&lt;=10000,1550,(IF(G93&lt;=15000,1750,(IF(G93&lt;=24000,2050,(IF(G93&lt;=40000,2900,3600)))))))))))))</f>
        <v>1100</v>
      </c>
      <c r="F93" s="5">
        <f>H93+I93+G94+300</f>
        <v>5800</v>
      </c>
      <c r="G93" s="6">
        <v>2350</v>
      </c>
      <c r="H93" s="5">
        <f>IF(D94&lt;=315,1600,(IF(D94=355,1650,(IF(D94=400,1650,(IF(D94=450,1700,(IF(D94=500,1700,(IF(D94=560,1800,(IF(D94=630,2000,(IF(D94=710,2200,2500)))))))))))))))</f>
        <v>1600</v>
      </c>
      <c r="I93" s="5">
        <f>IF(H94=2,1800,(IF(H94=3,2300,(IF(H94=4,3300,0)))))</f>
        <v>3300</v>
      </c>
      <c r="J93" s="156" t="s">
        <v>32</v>
      </c>
      <c r="K93" s="156">
        <v>1</v>
      </c>
      <c r="L93" s="157">
        <f>Q93*0.9</f>
        <v>269100</v>
      </c>
      <c r="M93" s="157">
        <f>L93*K93</f>
        <v>269100</v>
      </c>
      <c r="N93" s="157">
        <f>Q93*0.1</f>
        <v>29900</v>
      </c>
      <c r="O93" s="168">
        <f>N93*K93</f>
        <v>29900</v>
      </c>
      <c r="P93" s="168">
        <v>299000</v>
      </c>
      <c r="Q93" s="158">
        <f>CEILING((S93+T93+U93+V93+W93),250)</f>
        <v>299000</v>
      </c>
      <c r="R93" s="158">
        <v>625</v>
      </c>
      <c r="S93" s="158">
        <f>(D93*E93*3*10.76+D93*F93*2*10.76+E93*F93*2*10.76)*R93/(1000*1000)</f>
        <v>201043.875</v>
      </c>
      <c r="T93" s="158">
        <f>F94*4*1050</f>
        <v>25200</v>
      </c>
      <c r="U93" s="153">
        <f>IF(G93&lt;=2000,5000,(IF(G93&lt;=5000,8000,(IF(G93&lt;=10000,10000,(IF(G93&lt;=18000,15000,(IF(G93&lt;=40000,20000,10000)))))))))</f>
        <v>8000</v>
      </c>
      <c r="V93" s="153">
        <f>IF(X93=200,17150,(IF(X93=225,18150,(IF(X93=250,18900,(IF(X93=280,19150,(IF(X93=315,19650,(IF(X93=355,21900,(IF(X93=400,24400,0)))))))))))))+IF(X93=450,31000,(IF(X93=500,37450,(IF(X93=560,45650,(IF(X93=630,58900,(IF(X93=710,77950,0)))))))))+IF(X93=800,119650,(IF(X93=900,153300,(IF(X93=1000,178900,(IF(X93=1120,286500,(IF(X93=1250,394500,(IF(X93=1450,461500,0)))))))))))</f>
        <v>19150</v>
      </c>
      <c r="W93" s="158">
        <f>IF(E94=0.5,16600,(IF(E94=1,19050,(IF(E94=1.5,21750,(IF(E94=2,23600,(IF(E94=3,30000,(IF(E94=5,38000,0)))))))))))*1.2+IF(E94=7.5,52300,(IF(E94=10,59600,0)))*1.2+IF(E94=12.5,100350,(IF(E94=15,106000,(IF(E94=20,129150,(IF(E94=25,146050,(IF(E94=30,173600,(IF(E94=40,233900,(IF(E94=50,304650)))))))))))))*1.2</f>
        <v>45600</v>
      </c>
      <c r="X93" s="153">
        <f>IF(G93&lt;=5250,Z93,Y93)</f>
        <v>280</v>
      </c>
      <c r="Y93" s="153">
        <f>IF(G93&lt;=6750,450,(IF(G93&lt;=8500,500,(IF(G93&lt;=10750,560,(IF(G93&lt;=13500,630,(IF(G93&lt;=17000,710,(IF(G93&lt;=21500,800,(IF(G93&lt;=27000,900,(IF(G93&lt;=34000,1000,0)))))))))))))))</f>
        <v>450</v>
      </c>
      <c r="Z93" s="153">
        <f>IF(G93&lt;=1300,200,(IF(G93&lt;=1600,225,(IF(G93&lt;=2100,250,(IF(G93&lt;=2700,280,(IF(G93&lt;=3450,315,(IF(G93&lt;=4250,355,(IF(G93&lt;=5250,400,(IF(G93&lt;=6750,450,0)))))))))))))))</f>
        <v>280</v>
      </c>
      <c r="AA93" s="153">
        <f>IF(G93&lt;=2000,5000,(IF(G93&lt;=5000,8000,(IF(G93&lt;=10000,10000,(IF(G93&lt;=18000,15000,(IF(G93&lt;=40000,20000,10000)))))))))</f>
        <v>8000</v>
      </c>
      <c r="AB93" s="153">
        <f>IF(D93=950,2,(IF(D93=1150,3,(IF(D93=1550,4,(IF(D93=1750,5,(IF(D93=2050,6,(IF(D93=2900,8,(IF(D93=3600,10,1)))))))))))))</f>
        <v>3</v>
      </c>
      <c r="AC93" s="153">
        <f>IF(E93=950,2,(IF(E93=1100,2,(IF(E93=1250,3,(IF(E93=1550,4,(IF(E93=1750,5,(IF(E93=2050,6,(IF(E93=2900,8,(IF(E93=3600,10,1)))))))))))))))</f>
        <v>2</v>
      </c>
      <c r="AD93" s="153">
        <f>AC93*AB93</f>
        <v>6</v>
      </c>
      <c r="AE93" s="153">
        <v>150</v>
      </c>
      <c r="AF93" s="153">
        <f>CEILING((SQRT(G93/1000))*4*2*AE93*1.25*K93,100)</f>
        <v>2300</v>
      </c>
      <c r="AG93" s="153"/>
      <c r="AH93" s="153">
        <f>AC93*AB93</f>
        <v>6</v>
      </c>
      <c r="AI93" s="153">
        <f>AC93*AB93</f>
        <v>6</v>
      </c>
      <c r="AJ93" s="153">
        <f>AC93*AB93</f>
        <v>6</v>
      </c>
      <c r="AK93" s="153">
        <f>AB93*AC93</f>
        <v>6</v>
      </c>
      <c r="AL93" s="153"/>
      <c r="AM93" s="152">
        <f>(G93*2.2/1100)</f>
        <v>4.7</v>
      </c>
      <c r="AN93" s="152">
        <f>(G93*1/1100)</f>
        <v>2.1363636363636362</v>
      </c>
      <c r="AX93" s="153"/>
      <c r="AY93" s="210"/>
    </row>
    <row r="94" spans="3:51">
      <c r="C94" s="155"/>
      <c r="D94" s="5">
        <f>IF(G93&lt;=5250,Z93,Y93)</f>
        <v>280</v>
      </c>
      <c r="E94" s="5">
        <v>5</v>
      </c>
      <c r="F94" s="5">
        <v>6</v>
      </c>
      <c r="G94" s="5">
        <f>IF(I94=4,600,(IF(I94=6,800,(IF(I94=8,1000,1200)))))</f>
        <v>600</v>
      </c>
      <c r="H94" s="5">
        <v>4</v>
      </c>
      <c r="I94" s="5">
        <f>IF((D93-250)*(E93-150)*10.76/(1000*1000)&gt;=F94,4,(IF(((D93-250)*(E93-150)*10.76*1.5/(1000*1000))&gt;=F94,6,(IF(((D93-250)*(E93-150)*2*10.76/(1000*1000))&gt;=F94,8,0)))))</f>
        <v>4</v>
      </c>
      <c r="J94" s="156"/>
      <c r="K94" s="156"/>
      <c r="L94" s="157"/>
      <c r="M94" s="157"/>
      <c r="N94" s="157"/>
      <c r="O94" s="168"/>
      <c r="P94" s="168"/>
      <c r="Q94" s="158"/>
      <c r="R94" s="158"/>
      <c r="S94" s="158"/>
      <c r="T94" s="158"/>
      <c r="U94" s="153"/>
      <c r="V94" s="153"/>
      <c r="W94" s="158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3"/>
      <c r="AL94" s="153"/>
      <c r="AM94" s="152"/>
      <c r="AN94" s="152"/>
      <c r="AX94" s="153"/>
      <c r="AY94" s="210"/>
    </row>
    <row r="95" spans="3:51" ht="26.25" thickBot="1">
      <c r="C95" s="98"/>
      <c r="D95" s="42" t="s">
        <v>35</v>
      </c>
      <c r="E95" s="42" t="s">
        <v>1</v>
      </c>
      <c r="F95" s="42" t="s">
        <v>36</v>
      </c>
      <c r="G95" s="42" t="s">
        <v>37</v>
      </c>
      <c r="H95" s="42" t="s">
        <v>38</v>
      </c>
      <c r="I95" s="42" t="s">
        <v>39</v>
      </c>
      <c r="J95" s="12"/>
      <c r="K95" s="12"/>
      <c r="L95" s="78"/>
      <c r="M95" s="78"/>
      <c r="N95" s="78"/>
      <c r="O95" s="79"/>
      <c r="P95" s="79"/>
      <c r="AM95" s="83"/>
      <c r="AN95" s="83"/>
    </row>
    <row r="96" spans="3:51">
      <c r="C96" s="154" t="s">
        <v>40</v>
      </c>
      <c r="D96" s="5">
        <f>IF(G96&lt;=2000,950,(IF(G96&lt;=3000,1150,(IF(G96&lt;=8000,1550,(IF(G96&lt;=10000,1750,(IF(G96&lt;=18000,2050,(IF(G96&lt;=32000,2900,(IF(G96&lt;=40000,3600,4000)))))))))))))</f>
        <v>2050</v>
      </c>
      <c r="E96" s="5">
        <f>IF(G96&lt;=2000,950,(IF(G96&lt;=4000,1100,(IF(G96&lt;=6000,1250,(IF(G96&lt;=10000,1550,(IF(G96&lt;=15000,1750,(IF(G96&lt;=24000,2050,(IF(G96&lt;=40000,2900,3600)))))))))))))</f>
        <v>1750</v>
      </c>
      <c r="F96" s="5">
        <f>H96+I96+G97+300</f>
        <v>6600</v>
      </c>
      <c r="G96" s="6">
        <v>12100</v>
      </c>
      <c r="H96" s="5">
        <f>IF(D97&lt;=315,1600,(IF(D97=355,1650,(IF(D97=400,1650,(IF(D97=450,1700,(IF(D97=500,1700,(IF(D97=560,1800,(IF(D97=630,2000,(IF(D97=710,2200,2500)))))))))))))))</f>
        <v>2000</v>
      </c>
      <c r="I96" s="5">
        <f>IF(H97=2,1800,(IF(H97=3,2300,(IF(H97=4,3300,0)))))</f>
        <v>3300</v>
      </c>
      <c r="J96" s="156" t="s">
        <v>32</v>
      </c>
      <c r="K96" s="156">
        <v>1</v>
      </c>
      <c r="L96" s="157">
        <f>Q96*0.9</f>
        <v>801675</v>
      </c>
      <c r="M96" s="157">
        <f>L96*K96</f>
        <v>801675</v>
      </c>
      <c r="N96" s="157">
        <f>Q96*0.1</f>
        <v>89075</v>
      </c>
      <c r="O96" s="168">
        <f>N96*K96</f>
        <v>89075</v>
      </c>
      <c r="P96" s="168">
        <v>890750</v>
      </c>
      <c r="Q96" s="158">
        <f>CEILING((S96+T96+U96+V96+W96),250)</f>
        <v>890750</v>
      </c>
      <c r="R96" s="158">
        <v>625</v>
      </c>
      <c r="S96" s="158">
        <f>(D96*E96*3*10.76+D96*F96*2*10.76+E96*F96*2*10.76)*R96/(1000*1000)</f>
        <v>409703.8125</v>
      </c>
      <c r="T96" s="158">
        <f>F97*4*1050</f>
        <v>252000</v>
      </c>
      <c r="U96" s="153">
        <f>IF(G96&lt;=2000,5000,(IF(G96&lt;=5000,8000,(IF(G96&lt;=10000,10000,(IF(G96&lt;=18000,15000,(IF(G96&lt;=40000,20000,10000)))))))))</f>
        <v>15000</v>
      </c>
      <c r="V96" s="153">
        <f>IF(X96=200,17150,(IF(X96=225,18150,(IF(X96=250,18900,(IF(X96=280,19150,(IF(X96=315,19650,(IF(X96=355,21900,(IF(X96=400,24400,0)))))))))))))+IF(X96=450,31000,(IF(X96=500,37450,(IF(X96=560,45650,(IF(X96=630,58900,(IF(X96=710,77950,0)))))))))+IF(X96=800,119650,(IF(X96=900,153300,(IF(X96=1000,178900,(IF(X96=1120,286500,(IF(X96=1250,394500,(IF(X96=1450,461500,0)))))))))))</f>
        <v>58900</v>
      </c>
      <c r="W96" s="158">
        <f>IF(E97=0.5,16600,(IF(E97=1,19050,(IF(E97=1.5,21750,(IF(E97=2,23600,(IF(E97=3,30000,(IF(E97=5,38000,0)))))))))))*1.2+IF(E97=7.5,52300,(IF(E97=10,59600,0)))*1.2+IF(E97=12.5,100350,(IF(E97=15,106000,(IF(E97=20,129150,(IF(E97=25,146050,(IF(E97=30,173600,(IF(E97=40,233900,(IF(E97=50,304650)))))))))))))*1.2</f>
        <v>154980</v>
      </c>
      <c r="X96" s="153">
        <f>IF(G96&lt;=5250,Z96,Y96)</f>
        <v>630</v>
      </c>
      <c r="Y96" s="153">
        <f>IF(G96&lt;=6750,450,(IF(G96&lt;=8500,500,(IF(G96&lt;=10750,560,(IF(G96&lt;=13500,630,(IF(G96&lt;=17000,710,(IF(G96&lt;=21500,800,(IF(G96&lt;=27000,900,(IF(G96&lt;=34000,1000,0)))))))))))))))</f>
        <v>630</v>
      </c>
      <c r="Z96" s="153">
        <f>IF(G96&lt;=1300,200,(IF(G96&lt;=1600,225,(IF(G96&lt;=2100,250,(IF(G96&lt;=2700,280,(IF(G96&lt;=3450,315,(IF(G96&lt;=4250,355,(IF(G96&lt;=5250,400,(IF(G96&lt;=6750,450,0)))))))))))))))</f>
        <v>0</v>
      </c>
      <c r="AA96" s="153">
        <f>IF(G96&lt;=2000,5000,(IF(G96&lt;=5000,8000,(IF(G96&lt;=10000,10000,(IF(G96&lt;=18000,15000,(IF(G96&lt;=40000,20000,10000)))))))))</f>
        <v>15000</v>
      </c>
      <c r="AB96" s="153">
        <f>IF(D96=950,2,(IF(D96=1150,3,(IF(D96=1550,4,(IF(D96=1750,5,(IF(D96=2050,6,(IF(D96=2900,8,(IF(D96=3600,10,1)))))))))))))</f>
        <v>6</v>
      </c>
      <c r="AC96" s="153">
        <f>IF(E96=950,2,(IF(E96=1100,2,(IF(E96=1250,3,(IF(E96=1550,4,(IF(E96=1750,5,(IF(E96=2050,6,(IF(E96=2900,8,(IF(E96=3600,10,1)))))))))))))))</f>
        <v>5</v>
      </c>
      <c r="AD96" s="153">
        <f>AC96*AB96</f>
        <v>30</v>
      </c>
      <c r="AE96" s="153">
        <v>150</v>
      </c>
      <c r="AF96" s="153">
        <f>CEILING((SQRT(G96/1000))*4*2*AE96*1.25*K96,100)</f>
        <v>5300</v>
      </c>
      <c r="AG96" s="153"/>
      <c r="AH96" s="153">
        <f>AC96*AB96</f>
        <v>30</v>
      </c>
      <c r="AI96" s="153">
        <f>AC96*AB96</f>
        <v>30</v>
      </c>
      <c r="AJ96" s="153">
        <f>AC96*AB96</f>
        <v>30</v>
      </c>
      <c r="AK96" s="153">
        <f>AB96*AC96</f>
        <v>30</v>
      </c>
      <c r="AL96" s="153"/>
      <c r="AM96" s="152">
        <f>(G96*2.2/1100)</f>
        <v>24.200000000000003</v>
      </c>
      <c r="AN96" s="152">
        <f>(G96*1/1100)</f>
        <v>11</v>
      </c>
      <c r="AX96" s="153"/>
    </row>
    <row r="97" spans="3:50">
      <c r="C97" s="155"/>
      <c r="D97" s="5">
        <f>IF(G96&lt;=5250,Z96,Y96)</f>
        <v>630</v>
      </c>
      <c r="E97" s="5">
        <v>20</v>
      </c>
      <c r="F97" s="5">
        <v>60</v>
      </c>
      <c r="G97" s="5">
        <f>IF(I97=4,600,(IF(I97=6,800,(IF(I97=8,1000,1200)))))</f>
        <v>1000</v>
      </c>
      <c r="H97" s="5">
        <v>4</v>
      </c>
      <c r="I97" s="5">
        <f>IF((D96-250)*(E96-150)*10.76/(1000*1000)&gt;=F97,4,(IF(((D96-250)*(E96-150)*10.76*1.5/(1000*1000))&gt;=F97,6,(IF(((D96-250)*(E96-150)*2*10.76/(1000*1000))&gt;=F97,8,0)))))</f>
        <v>8</v>
      </c>
      <c r="J97" s="156"/>
      <c r="K97" s="156"/>
      <c r="L97" s="157"/>
      <c r="M97" s="157"/>
      <c r="N97" s="157"/>
      <c r="O97" s="168"/>
      <c r="P97" s="168"/>
      <c r="Q97" s="158"/>
      <c r="R97" s="158"/>
      <c r="S97" s="158"/>
      <c r="T97" s="158"/>
      <c r="U97" s="153"/>
      <c r="V97" s="153"/>
      <c r="W97" s="158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  <c r="AH97" s="153"/>
      <c r="AI97" s="153"/>
      <c r="AJ97" s="153"/>
      <c r="AK97" s="153"/>
      <c r="AL97" s="153"/>
      <c r="AM97" s="152"/>
      <c r="AN97" s="152"/>
      <c r="AX97" s="153"/>
    </row>
    <row r="98" spans="3:50">
      <c r="C98" s="154" t="s">
        <v>41</v>
      </c>
      <c r="D98" s="5">
        <f>IF(G98&lt;=2000,950,(IF(G98&lt;=3000,1150,(IF(G98&lt;=8000,1550,(IF(G98&lt;=10000,1750,(IF(G98&lt;=18000,2050,(IF(G98&lt;=32000,2900,(IF(G98&lt;=40000,3600,4000)))))))))))))</f>
        <v>2050</v>
      </c>
      <c r="E98" s="5">
        <f>IF(G98&lt;=2000,950,(IF(G98&lt;=4000,1100,(IF(G98&lt;=6000,1250,(IF(G98&lt;=10000,1550,(IF(G98&lt;=15000,1750,(IF(G98&lt;=24000,2050,(IF(G98&lt;=40000,2900,3600)))))))))))))</f>
        <v>1750</v>
      </c>
      <c r="F98" s="5">
        <f>H98+I98+G99+300</f>
        <v>6600</v>
      </c>
      <c r="G98" s="6">
        <v>11950</v>
      </c>
      <c r="H98" s="5">
        <f>IF(D99&lt;=315,1600,(IF(D99=355,1650,(IF(D99=400,1650,(IF(D99=450,1700,(IF(D99=500,1700,(IF(D99=560,1800,(IF(D99=630,2000,(IF(D99=710,2200,2500)))))))))))))))</f>
        <v>2000</v>
      </c>
      <c r="I98" s="5">
        <f>IF(H99=2,1800,(IF(H99=3,2300,(IF(H99=4,3300,0)))))</f>
        <v>3300</v>
      </c>
      <c r="J98" s="156" t="s">
        <v>32</v>
      </c>
      <c r="K98" s="156">
        <v>1</v>
      </c>
      <c r="L98" s="157">
        <f>Q98*0.9</f>
        <v>801675</v>
      </c>
      <c r="M98" s="157">
        <f>L98*K98</f>
        <v>801675</v>
      </c>
      <c r="N98" s="157">
        <f>Q98*0.1</f>
        <v>89075</v>
      </c>
      <c r="O98" s="168">
        <f>N98*K98</f>
        <v>89075</v>
      </c>
      <c r="P98" s="168">
        <v>890750</v>
      </c>
      <c r="Q98" s="158">
        <f>CEILING((S98+T98+U98+V98+W98),250)</f>
        <v>890750</v>
      </c>
      <c r="R98" s="158">
        <v>625</v>
      </c>
      <c r="S98" s="158">
        <f>(D98*E98*3*10.76+D98*F98*2*10.76+E98*F98*2*10.76)*R98/(1000*1000)</f>
        <v>409703.8125</v>
      </c>
      <c r="T98" s="158">
        <f>F99*4*1050</f>
        <v>252000</v>
      </c>
      <c r="U98" s="153">
        <f>IF(G98&lt;=2000,5000,(IF(G98&lt;=5000,8000,(IF(G98&lt;=10000,10000,(IF(G98&lt;=18000,15000,(IF(G98&lt;=40000,20000,10000)))))))))</f>
        <v>15000</v>
      </c>
      <c r="V98" s="153">
        <f>IF(X98=200,17150,(IF(X98=225,18150,(IF(X98=250,18900,(IF(X98=280,19150,(IF(X98=315,19650,(IF(X98=355,21900,(IF(X98=400,24400,0)))))))))))))+IF(X98=450,31000,(IF(X98=500,37450,(IF(X98=560,45650,(IF(X98=630,58900,(IF(X98=710,77950,0)))))))))+IF(X98=800,119650,(IF(X98=900,153300,(IF(X98=1000,178900,(IF(X98=1120,286500,(IF(X98=1250,394500,(IF(X98=1450,461500,0)))))))))))</f>
        <v>58900</v>
      </c>
      <c r="W98" s="158">
        <f>IF(E99=0.5,16600,(IF(E99=1,19050,(IF(E99=1.5,21750,(IF(E99=2,23600,(IF(E99=3,30000,(IF(E99=5,38000,0)))))))))))*1.2+IF(E99=7.5,52300,(IF(E99=10,59600,0)))*1.2+IF(E99=12.5,100350,(IF(E99=15,106000,(IF(E99=20,129150,(IF(E99=25,146050,(IF(E99=30,173600,(IF(E99=40,233900,(IF(E99=50,304650)))))))))))))*1.2</f>
        <v>154980</v>
      </c>
      <c r="X98" s="153">
        <f>IF(G98&lt;=5250,Z98,Y98)</f>
        <v>630</v>
      </c>
      <c r="Y98" s="153">
        <f>IF(G98&lt;=6750,450,(IF(G98&lt;=8500,500,(IF(G98&lt;=10750,560,(IF(G98&lt;=13500,630,(IF(G98&lt;=17000,710,(IF(G98&lt;=21500,800,(IF(G98&lt;=27000,900,(IF(G98&lt;=34000,1000,0)))))))))))))))</f>
        <v>630</v>
      </c>
      <c r="Z98" s="153">
        <f>IF(G98&lt;=1300,200,(IF(G98&lt;=1600,225,(IF(G98&lt;=2100,250,(IF(G98&lt;=2700,280,(IF(G98&lt;=3450,315,(IF(G98&lt;=4250,355,(IF(G98&lt;=5250,400,(IF(G98&lt;=6750,450,0)))))))))))))))</f>
        <v>0</v>
      </c>
      <c r="AA98" s="153">
        <f>IF(G98&lt;=2000,5000,(IF(G98&lt;=5000,8000,(IF(G98&lt;=10000,10000,(IF(G98&lt;=18000,15000,(IF(G98&lt;=40000,20000,10000)))))))))</f>
        <v>15000</v>
      </c>
      <c r="AB98" s="153">
        <f>IF(D98=950,2,(IF(D98=1150,3,(IF(D98=1550,4,(IF(D98=1750,5,(IF(D98=2050,6,(IF(D98=2900,8,(IF(D98=3600,10,1)))))))))))))</f>
        <v>6</v>
      </c>
      <c r="AC98" s="153">
        <f>IF(E98=950,2,(IF(E98=1100,2,(IF(E98=1250,3,(IF(E98=1550,4,(IF(E98=1750,5,(IF(E98=2050,6,(IF(E98=2900,8,(IF(E98=3600,10,1)))))))))))))))</f>
        <v>5</v>
      </c>
      <c r="AD98" s="153">
        <f>AC98*AB98</f>
        <v>30</v>
      </c>
      <c r="AE98" s="153">
        <v>150</v>
      </c>
      <c r="AF98" s="153">
        <f>CEILING((SQRT(G98/1000))*4*2*AE98*1.25*K98,100)</f>
        <v>5200</v>
      </c>
      <c r="AG98" s="153"/>
      <c r="AH98" s="153">
        <f>AC98*AB98</f>
        <v>30</v>
      </c>
      <c r="AI98" s="153">
        <f>AC98*AB98</f>
        <v>30</v>
      </c>
      <c r="AJ98" s="153">
        <f>AC98*AB98</f>
        <v>30</v>
      </c>
      <c r="AK98" s="153">
        <f>AB98*AC98</f>
        <v>30</v>
      </c>
      <c r="AL98" s="153"/>
      <c r="AM98" s="152">
        <f>(G98*2.2/1100)</f>
        <v>23.900000000000002</v>
      </c>
      <c r="AN98" s="152">
        <f>(G98*1/1100)</f>
        <v>10.863636363636363</v>
      </c>
      <c r="AX98" s="153"/>
    </row>
    <row r="99" spans="3:50">
      <c r="C99" s="155"/>
      <c r="D99" s="5">
        <f>IF(G98&lt;=5250,Z98,Y98)</f>
        <v>630</v>
      </c>
      <c r="E99" s="5">
        <v>20</v>
      </c>
      <c r="F99" s="5">
        <v>60</v>
      </c>
      <c r="G99" s="5">
        <f>IF(I99=4,600,(IF(I99=6,800,(IF(I99=8,1000,1200)))))</f>
        <v>1000</v>
      </c>
      <c r="H99" s="5">
        <v>4</v>
      </c>
      <c r="I99" s="5">
        <f>IF((D98-250)*(E98-150)*10.76/(1000*1000)&gt;=F99,4,(IF(((D98-250)*(E98-150)*10.76*1.5/(1000*1000))&gt;=F99,6,(IF(((D98-250)*(E98-150)*2*10.76/(1000*1000))&gt;=F99,8,0)))))</f>
        <v>8</v>
      </c>
      <c r="J99" s="156"/>
      <c r="K99" s="156"/>
      <c r="L99" s="157"/>
      <c r="M99" s="157"/>
      <c r="N99" s="157"/>
      <c r="O99" s="168"/>
      <c r="P99" s="168"/>
      <c r="Q99" s="158"/>
      <c r="R99" s="158"/>
      <c r="S99" s="158"/>
      <c r="T99" s="158"/>
      <c r="U99" s="153"/>
      <c r="V99" s="153"/>
      <c r="W99" s="158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3"/>
      <c r="AL99" s="153"/>
      <c r="AM99" s="152"/>
      <c r="AN99" s="152"/>
      <c r="AX99" s="153"/>
    </row>
    <row r="100" spans="3:50">
      <c r="C100" s="154" t="s">
        <v>42</v>
      </c>
      <c r="D100" s="5">
        <f>IF(G100&lt;=2000,950,(IF(G100&lt;=3000,1150,(IF(G100&lt;=8000,1550,(IF(G100&lt;=10000,1750,(IF(G100&lt;=18000,2050,(IF(G100&lt;=32000,2900,(IF(G100&lt;=40000,3600,4000)))))))))))))</f>
        <v>950</v>
      </c>
      <c r="E100" s="5">
        <f>IF(G100&lt;=2000,950,(IF(G100&lt;=4000,1100,(IF(G100&lt;=6000,1250,(IF(G100&lt;=10000,1550,(IF(G100&lt;=15000,1750,(IF(G100&lt;=24000,2050,(IF(G100&lt;=40000,2900,3600)))))))))))))</f>
        <v>950</v>
      </c>
      <c r="F100" s="5">
        <f>H100+I100+G101+300</f>
        <v>5800</v>
      </c>
      <c r="G100" s="6">
        <v>1750</v>
      </c>
      <c r="H100" s="5">
        <f>IF(D101&lt;=315,1600,(IF(D101=355,1650,(IF(D101=400,1650,(IF(D101=450,1700,(IF(D101=500,1700,(IF(D101=560,1800,(IF(D101=630,2000,(IF(D101=710,2200,2500)))))))))))))))</f>
        <v>1600</v>
      </c>
      <c r="I100" s="5">
        <f>IF(H101=2,1800,(IF(H101=3,2300,(IF(H101=4,3300,0)))))</f>
        <v>3300</v>
      </c>
      <c r="J100" s="156" t="s">
        <v>32</v>
      </c>
      <c r="K100" s="156">
        <v>1</v>
      </c>
      <c r="L100" s="157">
        <f>Q100*0.9</f>
        <v>229500</v>
      </c>
      <c r="M100" s="157">
        <f>L100*K100</f>
        <v>229500</v>
      </c>
      <c r="N100" s="157">
        <f>Q100*0.1</f>
        <v>25500</v>
      </c>
      <c r="O100" s="168">
        <f>N100*K100</f>
        <v>25500</v>
      </c>
      <c r="P100" s="168">
        <v>255000</v>
      </c>
      <c r="Q100" s="158">
        <f>CEILING((S100+T100+U100+V100+W100),250)</f>
        <v>255000</v>
      </c>
      <c r="R100" s="158">
        <v>625</v>
      </c>
      <c r="S100" s="158">
        <f>(D100*E100*3*10.76+D100*F100*2*10.76+E100*F100*2*10.76)*R100/(1000*1000)</f>
        <v>166426.9375</v>
      </c>
      <c r="T100" s="158">
        <f>F101*4*1050</f>
        <v>18900</v>
      </c>
      <c r="U100" s="153">
        <f>IF(G100&lt;=2000,5000,(IF(G100&lt;=5000,8000,(IF(G100&lt;=10000,10000,(IF(G100&lt;=18000,15000,(IF(G100&lt;=40000,20000,10000)))))))))</f>
        <v>5000</v>
      </c>
      <c r="V100" s="153">
        <f>IF(X100=200,17150,(IF(X100=225,18150,(IF(X100=250,18900,(IF(X100=280,19150,(IF(X100=315,19650,(IF(X100=355,21900,(IF(X100=400,24400,0)))))))))))))+IF(X100=450,31000,(IF(X100=500,37450,(IF(X100=560,45650,(IF(X100=630,58900,(IF(X100=710,77950,0)))))))))+IF(X100=800,119650,(IF(X100=900,153300,(IF(X100=1000,178900,(IF(X100=1120,286500,(IF(X100=1250,394500,(IF(X100=1450,461500,0)))))))))))</f>
        <v>18900</v>
      </c>
      <c r="W100" s="158">
        <f>IF(E101=0.5,16600,(IF(E101=1,19050,(IF(E101=1.5,21750,(IF(E101=2,23600,(IF(E101=3,30000,(IF(E101=5,38000,0)))))))))))*1.2+IF(E101=7.5,52300,(IF(E101=10,59600,0)))*1.2+IF(E101=12.5,100350,(IF(E101=15,106000,(IF(E101=20,129150,(IF(E101=25,146050,(IF(E101=30,173600,(IF(E101=40,233900,(IF(E101=50,304650)))))))))))))*1.2</f>
        <v>45600</v>
      </c>
      <c r="X100" s="153">
        <f>IF(G100&lt;=5250,Z100,Y100)</f>
        <v>250</v>
      </c>
      <c r="Y100" s="153">
        <f>IF(G100&lt;=6750,450,(IF(G100&lt;=8500,500,(IF(G100&lt;=10750,560,(IF(G100&lt;=13500,630,(IF(G100&lt;=17000,710,(IF(G100&lt;=21500,800,(IF(G100&lt;=27000,900,(IF(G100&lt;=34000,1000,0)))))))))))))))</f>
        <v>450</v>
      </c>
      <c r="Z100" s="153">
        <f>IF(G100&lt;=1300,200,(IF(G100&lt;=1600,225,(IF(G100&lt;=2100,250,(IF(G100&lt;=2700,280,(IF(G100&lt;=3450,315,(IF(G100&lt;=4250,355,(IF(G100&lt;=5250,400,(IF(G100&lt;=6750,450,0)))))))))))))))</f>
        <v>250</v>
      </c>
      <c r="AA100" s="153">
        <f>IF(G100&lt;=2000,5000,(IF(G100&lt;=5000,8000,(IF(G100&lt;=10000,10000,(IF(G100&lt;=18000,15000,(IF(G100&lt;=40000,20000,10000)))))))))</f>
        <v>5000</v>
      </c>
      <c r="AB100" s="153">
        <f>IF(D100=950,2,(IF(D100=1150,3,(IF(D100=1550,4,(IF(D100=1750,5,(IF(D100=2050,6,(IF(D100=2900,8,(IF(D100=3600,10,1)))))))))))))</f>
        <v>2</v>
      </c>
      <c r="AC100" s="153">
        <f>IF(E100=950,2,(IF(E100=1100,2,(IF(E100=1250,3,(IF(E100=1550,4,(IF(E100=1750,5,(IF(E100=2050,6,(IF(E100=2900,8,(IF(E100=3600,10,1)))))))))))))))</f>
        <v>2</v>
      </c>
      <c r="AD100" s="153">
        <f>AC100*AB100</f>
        <v>4</v>
      </c>
      <c r="AE100" s="153">
        <v>150</v>
      </c>
      <c r="AF100" s="153">
        <f>CEILING((SQRT(G100/1000))*4*2*AE100*1.25*K100,100)</f>
        <v>2000</v>
      </c>
      <c r="AG100" s="153"/>
      <c r="AH100" s="153">
        <f>AC100*AB100</f>
        <v>4</v>
      </c>
      <c r="AI100" s="153">
        <f>AC100*AB100</f>
        <v>4</v>
      </c>
      <c r="AJ100" s="153">
        <f>AC100*AB100</f>
        <v>4</v>
      </c>
      <c r="AK100" s="153">
        <f>AB100*AC100</f>
        <v>4</v>
      </c>
      <c r="AL100" s="153"/>
      <c r="AM100" s="152">
        <f>(G100*2.2/1100)</f>
        <v>3.5000000000000004</v>
      </c>
      <c r="AN100" s="152">
        <f>(G100*1/1100)</f>
        <v>1.5909090909090908</v>
      </c>
      <c r="AX100" s="153"/>
    </row>
    <row r="101" spans="3:50">
      <c r="C101" s="155"/>
      <c r="D101" s="5">
        <f>IF(G100&lt;=5250,Z100,Y100)</f>
        <v>250</v>
      </c>
      <c r="E101" s="5">
        <v>5</v>
      </c>
      <c r="F101" s="5">
        <v>4.5</v>
      </c>
      <c r="G101" s="5">
        <f>IF(I101=4,600,(IF(I101=6,800,(IF(I101=8,1000,1200)))))</f>
        <v>600</v>
      </c>
      <c r="H101" s="5">
        <v>4</v>
      </c>
      <c r="I101" s="5">
        <f>IF((D100-250)*(E100-150)*10.76/(1000*1000)&gt;=F101,4,(IF(((D100-250)*(E100-150)*10.76*1.5/(1000*1000))&gt;=F101,6,(IF(((D100-250)*(E100-150)*2*10.76/(1000*1000))&gt;=F101,8,0)))))</f>
        <v>4</v>
      </c>
      <c r="J101" s="156"/>
      <c r="K101" s="156"/>
      <c r="L101" s="157"/>
      <c r="M101" s="157"/>
      <c r="N101" s="157"/>
      <c r="O101" s="168"/>
      <c r="P101" s="168"/>
      <c r="Q101" s="158"/>
      <c r="R101" s="158"/>
      <c r="S101" s="158"/>
      <c r="T101" s="158"/>
      <c r="U101" s="153"/>
      <c r="V101" s="153"/>
      <c r="W101" s="158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  <c r="AH101" s="153"/>
      <c r="AI101" s="153"/>
      <c r="AJ101" s="153"/>
      <c r="AK101" s="153"/>
      <c r="AL101" s="153"/>
      <c r="AM101" s="152"/>
      <c r="AN101" s="152"/>
      <c r="AX101" s="153"/>
    </row>
    <row r="102" spans="3:50">
      <c r="C102" s="154" t="s">
        <v>43</v>
      </c>
      <c r="D102" s="5">
        <f>IF(G102&lt;=2000,950,(IF(G102&lt;=3000,1150,(IF(G102&lt;=8000,1550,(IF(G102&lt;=10000,1750,(IF(G102&lt;=18000,2050,(IF(G102&lt;=32000,2900,(IF(G102&lt;=40000,3600,4000)))))))))))))</f>
        <v>1550</v>
      </c>
      <c r="E102" s="5">
        <f>IF(G102&lt;=2000,950,(IF(G102&lt;=4000,1100,(IF(G102&lt;=6000,1250,(IF(G102&lt;=10000,1550,(IF(G102&lt;=15000,1750,(IF(G102&lt;=24000,2050,(IF(G102&lt;=40000,2900,3600)))))))))))))</f>
        <v>1250</v>
      </c>
      <c r="F102" s="5">
        <f>H102+I102+G103+300</f>
        <v>6050</v>
      </c>
      <c r="G102" s="6">
        <v>5000</v>
      </c>
      <c r="H102" s="5">
        <f>IF(D103&lt;=315,1600,(IF(D103=355,1650,(IF(D103=400,1650,(IF(D103=450,1700,(IF(D103=500,1700,(IF(D103=560,1800,(IF(D103=630,2000,(IF(D103=710,2200,2500)))))))))))))))</f>
        <v>1650</v>
      </c>
      <c r="I102" s="5">
        <f>IF(H103=2,1800,(IF(H103=3,2300,(IF(H103=4,3300,0)))))</f>
        <v>3300</v>
      </c>
      <c r="J102" s="156" t="s">
        <v>32</v>
      </c>
      <c r="K102" s="156">
        <v>1</v>
      </c>
      <c r="L102" s="157">
        <f>Q102*0.9</f>
        <v>412875</v>
      </c>
      <c r="M102" s="157">
        <f>L102*K102</f>
        <v>412875</v>
      </c>
      <c r="N102" s="157">
        <f>Q102*0.1</f>
        <v>45875</v>
      </c>
      <c r="O102" s="168">
        <f>N102*K102</f>
        <v>45875</v>
      </c>
      <c r="P102" s="168">
        <v>458750</v>
      </c>
      <c r="Q102" s="158">
        <f>CEILING((S102+T102+U102+V102+W102),250)</f>
        <v>458750</v>
      </c>
      <c r="R102" s="158">
        <v>625</v>
      </c>
      <c r="S102" s="158">
        <f>(D102*E102*3*10.76+D102*F102*2*10.76+E102*F102*2*10.76)*R102/(1000*1000)</f>
        <v>266932.0625</v>
      </c>
      <c r="T102" s="158">
        <f>F103*4*1050</f>
        <v>96600</v>
      </c>
      <c r="U102" s="153">
        <f>IF(G102&lt;=2000,5000,(IF(G102&lt;=5000,8000,(IF(G102&lt;=10000,10000,(IF(G102&lt;=18000,15000,(IF(G102&lt;=40000,20000,10000)))))))))</f>
        <v>8000</v>
      </c>
      <c r="V102" s="153">
        <f>IF(X102=200,17150,(IF(X102=225,18150,(IF(X102=250,18900,(IF(X102=280,19150,(IF(X102=315,19650,(IF(X102=355,21900,(IF(X102=400,24400,0)))))))))))))+IF(X102=450,31000,(IF(X102=500,37450,(IF(X102=560,45650,(IF(X102=630,58900,(IF(X102=710,77950,0)))))))))+IF(X102=800,119650,(IF(X102=900,153300,(IF(X102=1000,178900,(IF(X102=1120,286500,(IF(X102=1250,394500,(IF(X102=1450,461500,0)))))))))))</f>
        <v>24400</v>
      </c>
      <c r="W102" s="158">
        <f>IF(E103=0.5,16600,(IF(E103=1,19050,(IF(E103=1.5,21750,(IF(E103=2,23600,(IF(E103=3,30000,(IF(E103=5,38000,0)))))))))))*1.2+IF(E103=7.5,52300,(IF(E103=10,59600,0)))*1.2+IF(E103=12.5,100350,(IF(E103=15,106000,(IF(E103=20,129150,(IF(E103=25,146050,(IF(E103=30,173600,(IF(E103=40,233900,(IF(E103=50,304650)))))))))))))*1.2</f>
        <v>62760</v>
      </c>
      <c r="X102" s="153">
        <f>IF(G102&lt;=5250,Z102,Y102)</f>
        <v>400</v>
      </c>
      <c r="Y102" s="153">
        <f>IF(G102&lt;=6750,450,(IF(G102&lt;=8500,500,(IF(G102&lt;=10750,560,(IF(G102&lt;=13500,630,(IF(G102&lt;=17000,710,(IF(G102&lt;=21500,800,(IF(G102&lt;=27000,900,(IF(G102&lt;=34000,1000,0)))))))))))))))</f>
        <v>450</v>
      </c>
      <c r="Z102" s="153">
        <f>IF(G102&lt;=1300,200,(IF(G102&lt;=1600,225,(IF(G102&lt;=2100,250,(IF(G102&lt;=2700,280,(IF(G102&lt;=3450,315,(IF(G102&lt;=4250,355,(IF(G102&lt;=5250,400,(IF(G102&lt;=6750,450,0)))))))))))))))</f>
        <v>400</v>
      </c>
      <c r="AA102" s="153">
        <f>IF(G102&lt;=2000,5000,(IF(G102&lt;=5000,8000,(IF(G102&lt;=10000,10000,(IF(G102&lt;=18000,15000,(IF(G102&lt;=40000,20000,10000)))))))))</f>
        <v>8000</v>
      </c>
      <c r="AB102" s="153">
        <f>IF(D102=950,2,(IF(D102=1150,3,(IF(D102=1550,4,(IF(D102=1750,5,(IF(D102=2050,6,(IF(D102=2900,8,(IF(D102=3600,10,1)))))))))))))</f>
        <v>4</v>
      </c>
      <c r="AC102" s="153">
        <f>IF(E102=950,2,(IF(E102=1100,2,(IF(E102=1250,3,(IF(E102=1550,4,(IF(E102=1750,5,(IF(E102=2050,6,(IF(E102=2900,8,(IF(E102=3600,10,1)))))))))))))))</f>
        <v>3</v>
      </c>
      <c r="AD102" s="153">
        <f>AC102*AB102</f>
        <v>12</v>
      </c>
      <c r="AE102" s="153">
        <v>150</v>
      </c>
      <c r="AF102" s="153">
        <f>CEILING((SQRT(G102/1000))*4*2*AE102*1.25*K102,100)</f>
        <v>3400</v>
      </c>
      <c r="AG102" s="153"/>
      <c r="AH102" s="153">
        <f>AC102*AB102</f>
        <v>12</v>
      </c>
      <c r="AI102" s="153">
        <f>AC102*AB102</f>
        <v>12</v>
      </c>
      <c r="AJ102" s="153">
        <f>AC102*AB102</f>
        <v>12</v>
      </c>
      <c r="AK102" s="153">
        <f>AB102*AC102</f>
        <v>12</v>
      </c>
      <c r="AL102" s="153"/>
      <c r="AM102" s="152">
        <f>(G102*2.2/1100)</f>
        <v>10</v>
      </c>
      <c r="AN102" s="152">
        <f>(G102*1/1100)</f>
        <v>4.5454545454545459</v>
      </c>
      <c r="AX102" s="153"/>
    </row>
    <row r="103" spans="3:50">
      <c r="C103" s="155"/>
      <c r="D103" s="5">
        <f>IF(G102&lt;=5250,Z102,Y102)</f>
        <v>400</v>
      </c>
      <c r="E103" s="5">
        <v>7.5</v>
      </c>
      <c r="F103" s="5">
        <v>23</v>
      </c>
      <c r="G103" s="5">
        <f>IF(I103=4,600,(IF(I103=6,800,(IF(I103=8,1000,1200)))))</f>
        <v>800</v>
      </c>
      <c r="H103" s="5">
        <v>4</v>
      </c>
      <c r="I103" s="5">
        <f>IF((D102-250)*(E102-150)*10.76/(1000*1000)&gt;=F103,4,(IF(((D102-250)*(E102-150)*10.76*1.5/(1000*1000))&gt;=F103,6,(IF(((D102-250)*(E102-150)*2*10.76/(1000*1000))&gt;=F103,8,0)))))</f>
        <v>6</v>
      </c>
      <c r="J103" s="156"/>
      <c r="K103" s="156"/>
      <c r="L103" s="157"/>
      <c r="M103" s="157"/>
      <c r="N103" s="157"/>
      <c r="O103" s="168"/>
      <c r="P103" s="168"/>
      <c r="Q103" s="158"/>
      <c r="R103" s="158"/>
      <c r="S103" s="158"/>
      <c r="T103" s="158"/>
      <c r="U103" s="153"/>
      <c r="V103" s="153"/>
      <c r="W103" s="158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  <c r="AH103" s="153"/>
      <c r="AI103" s="153"/>
      <c r="AJ103" s="153"/>
      <c r="AK103" s="153"/>
      <c r="AL103" s="153"/>
      <c r="AM103" s="152"/>
      <c r="AN103" s="152"/>
      <c r="AX103" s="153"/>
    </row>
    <row r="104" spans="3:50" ht="25.5">
      <c r="C104" s="98"/>
      <c r="D104" s="5" t="s">
        <v>25</v>
      </c>
      <c r="E104" s="5" t="s">
        <v>26</v>
      </c>
      <c r="F104" s="5" t="s">
        <v>27</v>
      </c>
      <c r="G104" s="5" t="s">
        <v>28</v>
      </c>
      <c r="H104" s="5" t="s">
        <v>29</v>
      </c>
      <c r="I104" s="5" t="s">
        <v>30</v>
      </c>
      <c r="J104" s="12"/>
      <c r="K104" s="12"/>
      <c r="L104" s="78"/>
      <c r="M104" s="78"/>
      <c r="N104" s="78"/>
      <c r="O104" s="79"/>
      <c r="P104" s="79"/>
      <c r="AM104" s="83"/>
      <c r="AN104" s="83"/>
    </row>
    <row r="105" spans="3:50" ht="15">
      <c r="C105" s="98"/>
      <c r="D105" s="185" t="s">
        <v>44</v>
      </c>
      <c r="E105" s="186"/>
      <c r="F105" s="186"/>
      <c r="G105" s="186"/>
      <c r="H105" s="186"/>
      <c r="I105" s="187"/>
      <c r="J105" s="12"/>
      <c r="K105" s="12"/>
      <c r="L105" s="78"/>
      <c r="M105" s="78"/>
      <c r="N105" s="78"/>
      <c r="O105" s="79"/>
      <c r="P105" s="79"/>
      <c r="AM105" s="83"/>
      <c r="AN105" s="83"/>
    </row>
    <row r="106" spans="3:50">
      <c r="C106" s="154" t="s">
        <v>31</v>
      </c>
      <c r="D106" s="5">
        <f>IF(G106&lt;=2000,950,(IF(G106&lt;=3000,1150,(IF(G106&lt;=8000,1550,(IF(G106&lt;=10000,1750,(IF(G106&lt;=18000,2050,(IF(G106&lt;=32000,2900,(IF(G106&lt;=40000,3600,4000)))))))))))))</f>
        <v>1750</v>
      </c>
      <c r="E106" s="5">
        <f>IF(G106&lt;=2000,950,(IF(G106&lt;=4000,1100,(IF(G106&lt;=6000,1250,(IF(G106&lt;=10000,1550,(IF(G106&lt;=15000,1750,(IF(G106&lt;=24000,2050,(IF(G106&lt;=40000,2900,3600)))))))))))))</f>
        <v>1550</v>
      </c>
      <c r="F106" s="5">
        <f>H106+I106+G107+300</f>
        <v>6400</v>
      </c>
      <c r="G106" s="6">
        <v>9600</v>
      </c>
      <c r="H106" s="5">
        <f>IF(D107&lt;=315,1600,(IF(D107=355,1650,(IF(D107=400,1650,(IF(D107=450,1700,(IF(D107=500,1700,(IF(D107=560,1800,(IF(D107=630,2000,(IF(D107=710,2200,2500)))))))))))))))</f>
        <v>1800</v>
      </c>
      <c r="I106" s="5">
        <f>IF(H107=2,1800,(IF(H107=3,2300,(IF(H107=4,3300,0)))))</f>
        <v>3300</v>
      </c>
      <c r="J106" s="156" t="s">
        <v>32</v>
      </c>
      <c r="K106" s="156">
        <v>1</v>
      </c>
      <c r="L106" s="157">
        <f>Q106*0.9</f>
        <v>611325</v>
      </c>
      <c r="M106" s="157">
        <f>L106*K106</f>
        <v>611325</v>
      </c>
      <c r="N106" s="157">
        <f>Q106*0.1</f>
        <v>67925</v>
      </c>
      <c r="O106" s="168">
        <f>N106*K106</f>
        <v>67925</v>
      </c>
      <c r="P106" s="168">
        <v>679250</v>
      </c>
      <c r="Q106" s="158">
        <f>CEILING((S106+T106+U106+V106+W106),250)</f>
        <v>679250</v>
      </c>
      <c r="R106" s="158">
        <v>625</v>
      </c>
      <c r="S106" s="158">
        <f>(D106*E106*3*10.76+D106*F106*2*10.76+E106*F106*2*10.76)*R106/(1000*1000)</f>
        <v>338788.6875</v>
      </c>
      <c r="T106" s="158">
        <f>F107*4*1050</f>
        <v>157500</v>
      </c>
      <c r="U106" s="153">
        <f>IF(G106&lt;=2000,5000,(IF(G106&lt;=5000,8000,(IF(G106&lt;=10000,10000,(IF(G106&lt;=18000,15000,(IF(G106&lt;=40000,20000,10000)))))))))</f>
        <v>10000</v>
      </c>
      <c r="V106" s="153">
        <f>IF(X106=200,17150,(IF(X106=225,18150,(IF(X106=250,18900,(IF(X106=280,19150,(IF(X106=315,19650,(IF(X106=355,21900,(IF(X106=400,24400,0)))))))))))))+IF(X106=450,31000,(IF(X106=500,37450,(IF(X106=560,45650,(IF(X106=630,58900,(IF(X106=710,77950,0)))))))))+IF(X106=800,119650,(IF(X106=900,153300,(IF(X106=1000,178900,(IF(X106=1120,286500,(IF(X106=1250,394500,(IF(X106=1450,461500,0)))))))))))</f>
        <v>45650</v>
      </c>
      <c r="W106" s="158">
        <f>IF(E107=0.5,16600,(IF(E107=1,19050,(IF(E107=1.5,21750,(IF(E107=2,23600,(IF(E107=3,30000,(IF(E107=5,38000,0)))))))))))*1.2+IF(E107=7.5,52300,(IF(E107=10,59600,0)))*1.2+IF(E107=12.5,100350,(IF(E107=15,106000,(IF(E107=20,129150,(IF(E107=25,146050,(IF(E107=30,173600,(IF(E107=40,233900,(IF(E107=50,304650)))))))))))))*1.2</f>
        <v>127200</v>
      </c>
      <c r="X106" s="153">
        <f>IF(G106&lt;=5250,Z106,Y106)</f>
        <v>560</v>
      </c>
      <c r="Y106" s="153">
        <f>IF(G106&lt;=6750,450,(IF(G106&lt;=8500,500,(IF(G106&lt;=10750,560,(IF(G106&lt;=13500,630,(IF(G106&lt;=17000,710,(IF(G106&lt;=21500,800,(IF(G106&lt;=27000,900,(IF(G106&lt;=34000,1000,0)))))))))))))))</f>
        <v>560</v>
      </c>
      <c r="Z106" s="153">
        <f>IF(G106&lt;=1300,200,(IF(G106&lt;=1600,225,(IF(G106&lt;=2100,250,(IF(G106&lt;=2700,280,(IF(G106&lt;=3450,315,(IF(G106&lt;=4250,355,(IF(G106&lt;=5250,400,(IF(G106&lt;=6750,450,0)))))))))))))))</f>
        <v>0</v>
      </c>
      <c r="AA106" s="153">
        <f>IF(G106&lt;=2000,5000,(IF(G106&lt;=5000,8000,(IF(G106&lt;=10000,10000,(IF(G106&lt;=18000,15000,(IF(G106&lt;=40000,20000,10000)))))))))</f>
        <v>10000</v>
      </c>
      <c r="AB106" s="153">
        <f>IF(D106=950,2,(IF(D106=1150,3,(IF(D106=1550,4,(IF(D106=1750,5,(IF(D106=2050,6,(IF(D106=2900,8,(IF(D106=3600,10,1)))))))))))))</f>
        <v>5</v>
      </c>
      <c r="AC106" s="153">
        <f>IF(E106=950,2,(IF(E106=1100,2,(IF(E106=1250,3,(IF(E106=1550,4,(IF(E106=1750,5,(IF(E106=2050,6,(IF(E106=2900,8,(IF(E106=3600,10,1)))))))))))))))</f>
        <v>4</v>
      </c>
      <c r="AD106" s="153">
        <f>AC106*AB106</f>
        <v>20</v>
      </c>
      <c r="AE106" s="153">
        <v>150</v>
      </c>
      <c r="AF106" s="153">
        <f>CEILING((SQRT(G106/1000))*4*2*AE106*1.25*K106,100)</f>
        <v>4700</v>
      </c>
      <c r="AG106" s="153"/>
      <c r="AH106" s="153">
        <f>AC106*AB106</f>
        <v>20</v>
      </c>
      <c r="AI106" s="153">
        <f>AC106*AB106</f>
        <v>20</v>
      </c>
      <c r="AJ106" s="153">
        <f>AC106*AB106</f>
        <v>20</v>
      </c>
      <c r="AK106" s="153">
        <f>AB106*AC106</f>
        <v>20</v>
      </c>
      <c r="AL106" s="153"/>
      <c r="AM106" s="152">
        <f>(G106*2.2/1100)</f>
        <v>19.2</v>
      </c>
      <c r="AN106" s="152">
        <f>(G106*1/1100)</f>
        <v>8.7272727272727266</v>
      </c>
      <c r="AX106" s="153"/>
    </row>
    <row r="107" spans="3:50">
      <c r="C107" s="155"/>
      <c r="D107" s="5">
        <f>IF(G106&lt;=5250,Z106,Y106)</f>
        <v>560</v>
      </c>
      <c r="E107" s="5">
        <v>15</v>
      </c>
      <c r="F107" s="5">
        <v>37.5</v>
      </c>
      <c r="G107" s="5">
        <f>IF(I107=4,600,(IF(I107=6,800,(IF(I107=8,1000,1200)))))</f>
        <v>1000</v>
      </c>
      <c r="H107" s="5">
        <v>4</v>
      </c>
      <c r="I107" s="5">
        <f>IF((D106-250)*(E106-150)*10.76/(1000*1000)&gt;=F107,4,(IF(((D106-250)*(E106-150)*10.76*1.5/(1000*1000))&gt;=F107,6,(IF(((D106-250)*(E106-150)*2*10.76/(1000*1000))&gt;=F107,8,8)))))</f>
        <v>8</v>
      </c>
      <c r="J107" s="156"/>
      <c r="K107" s="156"/>
      <c r="L107" s="157"/>
      <c r="M107" s="157"/>
      <c r="N107" s="157"/>
      <c r="O107" s="168"/>
      <c r="P107" s="168"/>
      <c r="Q107" s="158"/>
      <c r="R107" s="158"/>
      <c r="S107" s="158"/>
      <c r="T107" s="158"/>
      <c r="U107" s="153"/>
      <c r="V107" s="153"/>
      <c r="W107" s="158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  <c r="AH107" s="153"/>
      <c r="AI107" s="153"/>
      <c r="AJ107" s="153"/>
      <c r="AK107" s="153"/>
      <c r="AL107" s="153"/>
      <c r="AM107" s="152"/>
      <c r="AN107" s="152"/>
      <c r="AX107" s="153"/>
    </row>
    <row r="108" spans="3:50">
      <c r="C108" s="154" t="s">
        <v>33</v>
      </c>
      <c r="D108" s="5">
        <f>IF(G108&lt;=2000,950,(IF(G108&lt;=3000,1150,(IF(G108&lt;=8000,1550,(IF(G108&lt;=10000,1750,(IF(G108&lt;=18000,2050,(IF(G108&lt;=32000,2900,(IF(G108&lt;=40000,3600,4000)))))))))))))</f>
        <v>1750</v>
      </c>
      <c r="E108" s="5">
        <f>IF(G108&lt;=2000,950,(IF(G108&lt;=4000,1100,(IF(G108&lt;=6000,1250,(IF(G108&lt;=10000,1550,(IF(G108&lt;=15000,1750,(IF(G108&lt;=24000,2050,(IF(G108&lt;=40000,2900,3600)))))))))))))</f>
        <v>1550</v>
      </c>
      <c r="F108" s="5">
        <f>H108+I108+G109+300</f>
        <v>6400</v>
      </c>
      <c r="G108" s="6">
        <v>8750</v>
      </c>
      <c r="H108" s="5">
        <f>IF(D109&lt;=315,1600,(IF(D109=355,1650,(IF(D109=400,1650,(IF(D109=450,1700,(IF(D109=500,1700,(IF(D109=560,1800,(IF(D109=630,2000,(IF(D109=710,2200,2500)))))))))))))))</f>
        <v>1800</v>
      </c>
      <c r="I108" s="5">
        <f>IF(H109=2,1800,(IF(H109=3,2300,(IF(H109=4,3300,0)))))</f>
        <v>3300</v>
      </c>
      <c r="J108" s="156" t="s">
        <v>32</v>
      </c>
      <c r="K108" s="156">
        <v>1</v>
      </c>
      <c r="L108" s="157">
        <f>Q108*0.9</f>
        <v>630225</v>
      </c>
      <c r="M108" s="157">
        <f>L108*K108</f>
        <v>630225</v>
      </c>
      <c r="N108" s="157">
        <f>Q108*0.1</f>
        <v>70025</v>
      </c>
      <c r="O108" s="168">
        <f>N108*K108</f>
        <v>70025</v>
      </c>
      <c r="P108" s="168">
        <v>700250</v>
      </c>
      <c r="Q108" s="158">
        <f>CEILING((S108+T108+U108+V108+W108),250)</f>
        <v>700250</v>
      </c>
      <c r="R108" s="158">
        <v>625</v>
      </c>
      <c r="S108" s="158">
        <f>(D108*E108*3*10.76+D108*F108*2*10.76+E108*F108*2*10.76)*R108/(1000*1000)</f>
        <v>338788.6875</v>
      </c>
      <c r="T108" s="158">
        <f>F109*4*1050</f>
        <v>178500</v>
      </c>
      <c r="U108" s="153">
        <f>IF(G108&lt;=2000,5000,(IF(G108&lt;=5000,8000,(IF(G108&lt;=10000,10000,(IF(G108&lt;=18000,15000,(IF(G108&lt;=40000,20000,10000)))))))))</f>
        <v>10000</v>
      </c>
      <c r="V108" s="153">
        <f>IF(X108=200,17150,(IF(X108=225,18150,(IF(X108=250,18900,(IF(X108=280,19150,(IF(X108=315,19650,(IF(X108=355,21900,(IF(X108=400,24400,0)))))))))))))+IF(X108=450,31000,(IF(X108=500,37450,(IF(X108=560,45650,(IF(X108=630,58900,(IF(X108=710,77950,0)))))))))+IF(X108=800,119650,(IF(X108=900,153300,(IF(X108=1000,178900,(IF(X108=1120,286500,(IF(X108=1250,394500,(IF(X108=1450,461500,0)))))))))))</f>
        <v>45650</v>
      </c>
      <c r="W108" s="158">
        <f>IF(E109=0.5,16600,(IF(E109=1,19050,(IF(E109=1.5,21750,(IF(E109=2,23600,(IF(E109=3,30000,(IF(E109=5,38000,0)))))))))))*1.2+IF(E109=7.5,52300,(IF(E109=10,59600,0)))*1.2+IF(E109=12.5,100350,(IF(E109=15,106000,(IF(E109=20,129150,(IF(E109=25,146050,(IF(E109=30,173600,(IF(E109=40,233900,(IF(E109=50,304650)))))))))))))*1.2</f>
        <v>127200</v>
      </c>
      <c r="X108" s="153">
        <f>IF(G108&lt;=5250,Z108,Y108)</f>
        <v>560</v>
      </c>
      <c r="Y108" s="153">
        <f>IF(G108&lt;=6750,450,(IF(G108&lt;=8500,500,(IF(G108&lt;=10750,560,(IF(G108&lt;=13500,630,(IF(G108&lt;=17000,710,(IF(G108&lt;=21500,800,(IF(G108&lt;=27000,900,(IF(G108&lt;=34000,1000,0)))))))))))))))</f>
        <v>560</v>
      </c>
      <c r="Z108" s="153">
        <f>IF(G108&lt;=1300,200,(IF(G108&lt;=1600,225,(IF(G108&lt;=2100,250,(IF(G108&lt;=2700,280,(IF(G108&lt;=3450,315,(IF(G108&lt;=4250,355,(IF(G108&lt;=5250,400,(IF(G108&lt;=6750,450,0)))))))))))))))</f>
        <v>0</v>
      </c>
      <c r="AA108" s="153">
        <f>IF(G108&lt;=2000,5000,(IF(G108&lt;=5000,8000,(IF(G108&lt;=10000,10000,(IF(G108&lt;=18000,15000,(IF(G108&lt;=40000,20000,10000)))))))))</f>
        <v>10000</v>
      </c>
      <c r="AB108" s="153">
        <f>IF(D108=950,2,(IF(D108=1150,3,(IF(D108=1550,4,(IF(D108=1750,5,(IF(D108=2050,6,(IF(D108=2900,8,(IF(D108=3600,10,1)))))))))))))</f>
        <v>5</v>
      </c>
      <c r="AC108" s="153">
        <f>IF(E108=950,2,(IF(E108=1100,2,(IF(E108=1250,3,(IF(E108=1550,4,(IF(E108=1750,5,(IF(E108=2050,6,(IF(E108=2900,8,(IF(E108=3600,10,1)))))))))))))))</f>
        <v>4</v>
      </c>
      <c r="AD108" s="153">
        <f>AC108*AB108</f>
        <v>20</v>
      </c>
      <c r="AE108" s="153">
        <v>150</v>
      </c>
      <c r="AF108" s="153">
        <f>CEILING((SQRT(G108/1000))*4*2*AE108*1.25*K108,100)</f>
        <v>4500</v>
      </c>
      <c r="AG108" s="153"/>
      <c r="AH108" s="153">
        <f>AC108*AB108</f>
        <v>20</v>
      </c>
      <c r="AI108" s="153">
        <f>AC108*AB108</f>
        <v>20</v>
      </c>
      <c r="AJ108" s="153">
        <f>AC108*AB108</f>
        <v>20</v>
      </c>
      <c r="AK108" s="153">
        <f>AB108*AC108</f>
        <v>20</v>
      </c>
      <c r="AL108" s="153"/>
      <c r="AM108" s="152">
        <f>(G108*2.2/1100)</f>
        <v>17.5</v>
      </c>
      <c r="AN108" s="152">
        <f>(G108*1/1100)</f>
        <v>7.9545454545454541</v>
      </c>
      <c r="AX108" s="153"/>
    </row>
    <row r="109" spans="3:50">
      <c r="C109" s="155"/>
      <c r="D109" s="5">
        <f>IF(G108&lt;=5250,Z108,Y108)</f>
        <v>560</v>
      </c>
      <c r="E109" s="5">
        <v>15</v>
      </c>
      <c r="F109" s="5">
        <v>42.5</v>
      </c>
      <c r="G109" s="5">
        <f>IF(I109=4,600,(IF(I109=6,800,(IF(I109=8,1000,1200)))))</f>
        <v>1000</v>
      </c>
      <c r="H109" s="5">
        <v>4</v>
      </c>
      <c r="I109" s="5">
        <f>IF((D108-250)*(E108-150)*10.76/(1000*1000)&gt;=F109,4,(IF(((D108-250)*(E108-150)*10.76*1.5/(1000*1000))&gt;=F109,6,(IF(((D108-250)*(E108-150)*2*10.76/(1000*1000))&gt;=F109,8,0)))))</f>
        <v>8</v>
      </c>
      <c r="J109" s="156"/>
      <c r="K109" s="156"/>
      <c r="L109" s="157"/>
      <c r="M109" s="157"/>
      <c r="N109" s="157"/>
      <c r="O109" s="168"/>
      <c r="P109" s="168"/>
      <c r="Q109" s="158"/>
      <c r="R109" s="158"/>
      <c r="S109" s="158"/>
      <c r="T109" s="158"/>
      <c r="U109" s="153"/>
      <c r="V109" s="153"/>
      <c r="W109" s="158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  <c r="AH109" s="153"/>
      <c r="AI109" s="153"/>
      <c r="AJ109" s="153"/>
      <c r="AK109" s="153"/>
      <c r="AL109" s="153"/>
      <c r="AM109" s="152"/>
      <c r="AN109" s="152"/>
      <c r="AX109" s="153"/>
    </row>
    <row r="110" spans="3:50" ht="26.25" thickBot="1">
      <c r="C110" s="98"/>
      <c r="D110" s="42" t="s">
        <v>35</v>
      </c>
      <c r="E110" s="42" t="s">
        <v>1</v>
      </c>
      <c r="F110" s="42" t="s">
        <v>36</v>
      </c>
      <c r="G110" s="42" t="s">
        <v>37</v>
      </c>
      <c r="H110" s="42" t="s">
        <v>38</v>
      </c>
      <c r="I110" s="42" t="s">
        <v>39</v>
      </c>
      <c r="J110" s="12"/>
      <c r="K110" s="12">
        <f>6.5*5.5</f>
        <v>35.75</v>
      </c>
      <c r="L110" s="78"/>
      <c r="M110" s="78"/>
      <c r="N110" s="78"/>
      <c r="O110" s="79"/>
      <c r="P110" s="79"/>
      <c r="AM110" s="83"/>
      <c r="AN110" s="83"/>
    </row>
    <row r="111" spans="3:50">
      <c r="C111" s="99" t="s">
        <v>45</v>
      </c>
      <c r="D111" s="159" t="s">
        <v>46</v>
      </c>
      <c r="E111" s="160"/>
      <c r="F111" s="160"/>
      <c r="G111" s="160"/>
      <c r="H111" s="160"/>
      <c r="I111" s="161"/>
      <c r="J111" s="45"/>
      <c r="K111" s="45"/>
      <c r="L111" s="86"/>
      <c r="M111" s="86"/>
      <c r="N111" s="86"/>
      <c r="O111" s="87"/>
      <c r="P111" s="87"/>
      <c r="AM111" s="83"/>
      <c r="AN111" s="83"/>
    </row>
    <row r="112" spans="3:50">
      <c r="C112" s="116"/>
      <c r="D112" s="162" t="s">
        <v>47</v>
      </c>
      <c r="E112" s="163"/>
      <c r="F112" s="163"/>
      <c r="G112" s="163"/>
      <c r="H112" s="163"/>
      <c r="I112" s="164"/>
      <c r="J112" s="117"/>
      <c r="K112" s="117"/>
      <c r="L112" s="118"/>
      <c r="M112" s="118"/>
      <c r="N112" s="118"/>
      <c r="O112" s="119"/>
      <c r="P112" s="119"/>
      <c r="AM112" s="83"/>
      <c r="AN112" s="83"/>
    </row>
    <row r="113" spans="3:50">
      <c r="C113" s="98"/>
      <c r="D113" s="165"/>
      <c r="E113" s="166"/>
      <c r="F113" s="166"/>
      <c r="G113" s="166"/>
      <c r="H113" s="166"/>
      <c r="I113" s="167"/>
      <c r="J113" s="12"/>
      <c r="K113" s="12"/>
      <c r="L113" s="78"/>
      <c r="M113" s="78"/>
      <c r="N113" s="78"/>
      <c r="O113" s="79"/>
      <c r="P113" s="79"/>
      <c r="AM113" s="83"/>
      <c r="AN113" s="83"/>
    </row>
    <row r="114" spans="3:50">
      <c r="C114" s="98"/>
      <c r="D114" s="165"/>
      <c r="E114" s="166"/>
      <c r="F114" s="166"/>
      <c r="G114" s="166"/>
      <c r="H114" s="166"/>
      <c r="I114" s="167"/>
      <c r="J114" s="12"/>
      <c r="K114" s="12"/>
      <c r="L114" s="78"/>
      <c r="M114" s="78"/>
      <c r="N114" s="78"/>
      <c r="O114" s="79"/>
      <c r="P114" s="79"/>
      <c r="AM114" s="83"/>
      <c r="AN114" s="83"/>
    </row>
    <row r="115" spans="3:50">
      <c r="C115" s="98"/>
      <c r="D115" s="165"/>
      <c r="E115" s="166"/>
      <c r="F115" s="166"/>
      <c r="G115" s="166"/>
      <c r="H115" s="166"/>
      <c r="I115" s="167"/>
      <c r="J115" s="12"/>
      <c r="K115" s="12"/>
      <c r="L115" s="78"/>
      <c r="M115" s="78"/>
      <c r="N115" s="78"/>
      <c r="O115" s="79"/>
      <c r="P115" s="79"/>
      <c r="AM115" s="83"/>
      <c r="AN115" s="83"/>
    </row>
    <row r="116" spans="3:50">
      <c r="C116" s="98"/>
      <c r="D116" s="165"/>
      <c r="E116" s="166"/>
      <c r="F116" s="166"/>
      <c r="G116" s="166"/>
      <c r="H116" s="166"/>
      <c r="I116" s="167"/>
      <c r="J116" s="12"/>
      <c r="K116" s="12"/>
      <c r="L116" s="78"/>
      <c r="M116" s="78"/>
      <c r="N116" s="78"/>
      <c r="O116" s="79"/>
      <c r="P116" s="79"/>
      <c r="AM116" s="83"/>
      <c r="AN116" s="83"/>
    </row>
    <row r="117" spans="3:50">
      <c r="C117" s="98"/>
      <c r="D117" s="165"/>
      <c r="E117" s="166"/>
      <c r="F117" s="166"/>
      <c r="G117" s="166"/>
      <c r="H117" s="166"/>
      <c r="I117" s="167"/>
      <c r="J117" s="12"/>
      <c r="K117" s="12"/>
      <c r="L117" s="78"/>
      <c r="M117" s="78"/>
      <c r="N117" s="78"/>
      <c r="O117" s="79"/>
      <c r="P117" s="79"/>
      <c r="AM117" s="83"/>
      <c r="AN117" s="83"/>
    </row>
    <row r="118" spans="3:50">
      <c r="C118" s="98"/>
      <c r="D118" s="165"/>
      <c r="E118" s="166"/>
      <c r="F118" s="166"/>
      <c r="G118" s="166"/>
      <c r="H118" s="166"/>
      <c r="I118" s="167"/>
      <c r="J118" s="12"/>
      <c r="K118" s="12"/>
      <c r="L118" s="78"/>
      <c r="M118" s="78"/>
      <c r="N118" s="78"/>
      <c r="O118" s="79"/>
      <c r="P118" s="79"/>
      <c r="AM118" s="83"/>
      <c r="AN118" s="83"/>
    </row>
    <row r="119" spans="3:50">
      <c r="C119" s="98"/>
      <c r="D119" s="165"/>
      <c r="E119" s="166"/>
      <c r="F119" s="166"/>
      <c r="G119" s="166"/>
      <c r="H119" s="166"/>
      <c r="I119" s="167"/>
      <c r="J119" s="12"/>
      <c r="K119" s="12"/>
      <c r="L119" s="78"/>
      <c r="M119" s="78"/>
      <c r="N119" s="78"/>
      <c r="O119" s="79"/>
      <c r="P119" s="79"/>
      <c r="AM119" s="83"/>
      <c r="AN119" s="83"/>
    </row>
    <row r="120" spans="3:50">
      <c r="C120" s="98"/>
      <c r="D120" s="165"/>
      <c r="E120" s="166"/>
      <c r="F120" s="166"/>
      <c r="G120" s="166"/>
      <c r="H120" s="166"/>
      <c r="I120" s="167"/>
      <c r="J120" s="12"/>
      <c r="K120" s="12"/>
      <c r="L120" s="78"/>
      <c r="M120" s="78"/>
      <c r="N120" s="78"/>
      <c r="O120" s="79"/>
      <c r="P120" s="79"/>
      <c r="AM120" s="83"/>
      <c r="AN120" s="83"/>
    </row>
    <row r="121" spans="3:50">
      <c r="C121" s="98"/>
      <c r="D121" s="165"/>
      <c r="E121" s="166"/>
      <c r="F121" s="166"/>
      <c r="G121" s="166"/>
      <c r="H121" s="166"/>
      <c r="I121" s="167"/>
      <c r="J121" s="12"/>
      <c r="K121" s="12"/>
      <c r="L121" s="78"/>
      <c r="M121" s="78"/>
      <c r="N121" s="78"/>
      <c r="O121" s="79"/>
      <c r="P121" s="79"/>
      <c r="AM121" s="83"/>
      <c r="AN121" s="83"/>
    </row>
    <row r="122" spans="3:50" ht="30.75" customHeight="1">
      <c r="C122" s="98"/>
      <c r="D122" s="165"/>
      <c r="E122" s="166"/>
      <c r="F122" s="166"/>
      <c r="G122" s="166"/>
      <c r="H122" s="166"/>
      <c r="I122" s="167"/>
      <c r="J122" s="12"/>
      <c r="K122" s="12"/>
      <c r="L122" s="78"/>
      <c r="M122" s="78"/>
      <c r="N122" s="78"/>
      <c r="O122" s="79"/>
      <c r="P122" s="79"/>
      <c r="AM122" s="83"/>
      <c r="AN122" s="83"/>
    </row>
    <row r="123" spans="3:50" ht="25.5">
      <c r="C123" s="116"/>
      <c r="D123" s="5" t="s">
        <v>25</v>
      </c>
      <c r="E123" s="5" t="s">
        <v>26</v>
      </c>
      <c r="F123" s="5" t="s">
        <v>27</v>
      </c>
      <c r="G123" s="5" t="s">
        <v>28</v>
      </c>
      <c r="H123" s="5" t="s">
        <v>29</v>
      </c>
      <c r="I123" s="5" t="s">
        <v>30</v>
      </c>
      <c r="J123" s="117"/>
      <c r="K123" s="117"/>
      <c r="L123" s="118"/>
      <c r="M123" s="118"/>
      <c r="N123" s="118"/>
      <c r="O123" s="119"/>
      <c r="P123" s="119"/>
      <c r="Q123">
        <f>CEILING((D124*E124*6*10.76/(1000*1000)+D124*F124*2*10.76/(1000*1000)+E124*F124*2*10.76/(1000*1000))*1000,100)</f>
        <v>679400</v>
      </c>
      <c r="AM123" s="83"/>
      <c r="AN123" s="83"/>
    </row>
    <row r="124" spans="3:50">
      <c r="C124" s="154" t="s">
        <v>48</v>
      </c>
      <c r="D124" s="5">
        <f>IF(G124&lt;=2000,950,(IF(G124&lt;=3000,1150,(IF(G124&lt;=8000,1550,(IF(G124&lt;=10000,1750,(IF(G124&lt;=18000,2050,(IF(G124&lt;=32000,2900,(IF(G124&lt;=40000,3600,4000)))))))))))))</f>
        <v>1750</v>
      </c>
      <c r="E124" s="5">
        <f>IF(G124&lt;=2000,950,(IF(G124&lt;=4000,1100,(IF(G124&lt;=6000,1250,(IF(G124&lt;=10000,1550,(IF(G124&lt;=15000,1750,(IF(G124&lt;=24000,2050,(IF(G124&lt;=40000,2900,3600)))))))))))))</f>
        <v>1550</v>
      </c>
      <c r="F124" s="5">
        <f>H124+I124+G125+300</f>
        <v>7100</v>
      </c>
      <c r="G124" s="6">
        <v>9000</v>
      </c>
      <c r="H124" s="5">
        <f>IF(D125&lt;=315,1600,(IF(D125=355,1650,(IF(D125=400,1650,(IF(D125=450,1700,(IF(D125=500,1700,(IF(D125=560,1800,(IF(D125=630,2000,(IF(D125=710,2200,2500)))))))))))))))</f>
        <v>1800</v>
      </c>
      <c r="I124" s="5">
        <f>IF(H125=2,1800,(IF(H125=3,2300,(IF(H125=4,3300,(IF(H125=5,3800,0)))))))</f>
        <v>3800</v>
      </c>
      <c r="J124" s="156" t="s">
        <v>32</v>
      </c>
      <c r="K124" s="156">
        <v>1</v>
      </c>
      <c r="L124" s="157">
        <f>Q124*0.9</f>
        <v>491400</v>
      </c>
      <c r="M124" s="157">
        <f>L124*K124</f>
        <v>491400</v>
      </c>
      <c r="N124" s="157">
        <f>Q124*0.1</f>
        <v>54600</v>
      </c>
      <c r="O124" s="168">
        <f>N124*K124</f>
        <v>54600</v>
      </c>
      <c r="P124" s="168">
        <v>546000</v>
      </c>
      <c r="Q124" s="158">
        <f>CEILING((S124+T124+U124+V124+W124),250)</f>
        <v>546000</v>
      </c>
      <c r="R124" s="158">
        <v>625</v>
      </c>
      <c r="S124" s="158">
        <f>(D124*E124*3*10.76+D124*F124*2*10.76+E124*F124*2*10.76)*R124/(1000*1000)</f>
        <v>369858.1875</v>
      </c>
      <c r="T124" s="158">
        <f>F125*4*1050</f>
        <v>0</v>
      </c>
      <c r="U124" s="153">
        <f>IF(G124&lt;=2000,5000,(IF(G124&lt;=5000,8000,(IF(G124&lt;=10000,10000,(IF(G124&lt;=18000,15000,(IF(G124&lt;=40000,20000,10000)))))))))</f>
        <v>10000</v>
      </c>
      <c r="V124" s="153">
        <f>IF(X124=200,17150,(IF(X124=225,18150,(IF(X124=250,18900,(IF(X124=280,19150,(IF(X124=315,19650,(IF(X124=355,21900,(IF(X124=400,24400,0)))))))))))))+IF(X124=450,31000,(IF(X124=500,37450,(IF(X124=560,45650,(IF(X124=630,58900,(IF(X124=710,77950,0)))))))))+IF(X124=800,119650,(IF(X124=900,153300,(IF(X124=1000,178900,(IF(X124=1120,286500,(IF(X124=1250,394500,(IF(X124=1450,461500,0)))))))))))</f>
        <v>45650</v>
      </c>
      <c r="W124" s="158">
        <f>IF(E125=0.5,16600,(IF(E125=1,19050,(IF(E125=1.5,21750,(IF(E125=2,23600,(IF(E125=3,30000,(IF(E125=5,38000,0)))))))))))*1.2+IF(E125=7.5,52300,(IF(E125=10,59600,0)))*1.2+IF(E125=12.5,100350,(IF(E125=15,106000,(IF(E125=20,129150,(IF(E125=25,146050,(IF(E125=30,173600,(IF(E125=40,233900,(IF(E125=50,304650)))))))))))))*1.2</f>
        <v>120420</v>
      </c>
      <c r="X124" s="153">
        <f>IF(G124&lt;=5250,Z124,Y124)</f>
        <v>560</v>
      </c>
      <c r="Y124" s="153">
        <f>IF(G124&lt;=6750,450,(IF(G124&lt;=8500,500,(IF(G124&lt;=10750,560,(IF(G124&lt;=13500,630,(IF(G124&lt;=17000,710,(IF(G124&lt;=21500,800,(IF(G124&lt;=27000,900,(IF(G124&lt;=34000,1000,0)))))))))))))))</f>
        <v>560</v>
      </c>
      <c r="Z124" s="153">
        <f>IF(G124&lt;=1300,200,(IF(G124&lt;=1600,225,(IF(G124&lt;=2100,250,(IF(G124&lt;=2700,280,(IF(G124&lt;=3450,315,(IF(G124&lt;=4250,355,(IF(G124&lt;=5250,400,(IF(G124&lt;=6750,450,0)))))))))))))))</f>
        <v>0</v>
      </c>
      <c r="AA124" s="153">
        <f>IF(G124&lt;=2000,5000,(IF(G124&lt;=5000,8000,(IF(G124&lt;=10000,10000,(IF(G124&lt;=18000,15000,(IF(G124&lt;=40000,20000,10000)))))))))</f>
        <v>10000</v>
      </c>
      <c r="AB124" s="153">
        <f>IF(D124=950,2,(IF(D124=1150,3,(IF(D124=1550,4,(IF(D124=1750,5,(IF(D124=2050,6,(IF(D124=2900,8,(IF(D124=3600,10,1)))))))))))))</f>
        <v>5</v>
      </c>
      <c r="AC124" s="153">
        <f>IF(E124=950,2,(IF(E124=1100,2,(IF(E124=1250,3,(IF(E124=1550,4,(IF(E124=1750,5,(IF(E124=2050,6,(IF(E124=2900,8,(IF(E124=3600,10,1)))))))))))))))</f>
        <v>4</v>
      </c>
      <c r="AD124" s="153">
        <f>AC124*AB124</f>
        <v>20</v>
      </c>
      <c r="AE124" s="153">
        <v>150</v>
      </c>
      <c r="AF124" s="153">
        <f>CEILING((SQRT(G124/1000))*4*2*AE124*1.25*K124,100)</f>
        <v>4500</v>
      </c>
      <c r="AG124" s="153">
        <f>AB124*AC124</f>
        <v>20</v>
      </c>
      <c r="AH124" s="153">
        <f>AC124*AB124</f>
        <v>20</v>
      </c>
      <c r="AI124" s="153">
        <f>AC124*AB124</f>
        <v>20</v>
      </c>
      <c r="AJ124" s="153">
        <f>AC124*AB124</f>
        <v>20</v>
      </c>
      <c r="AK124" s="153">
        <f>AC124*AB124</f>
        <v>20</v>
      </c>
      <c r="AL124" s="153"/>
      <c r="AM124" s="152">
        <f>(G124*2.2/1100)</f>
        <v>18</v>
      </c>
      <c r="AN124" s="152">
        <f>(G124*1/1100)</f>
        <v>8.1818181818181817</v>
      </c>
      <c r="AX124" s="153"/>
    </row>
    <row r="125" spans="3:50">
      <c r="C125" s="155"/>
      <c r="D125" s="5">
        <f>IF(G124&lt;=5250,Z124,Y124)</f>
        <v>560</v>
      </c>
      <c r="E125" s="5">
        <v>12.5</v>
      </c>
      <c r="F125" s="5">
        <v>0</v>
      </c>
      <c r="G125" s="5">
        <f>IF(I125=4,600,(IF(I125=6,800,(IF(I125=8,1000,1200)))))</f>
        <v>1200</v>
      </c>
      <c r="H125" s="5">
        <v>5</v>
      </c>
      <c r="I125" s="5">
        <v>0</v>
      </c>
      <c r="J125" s="156"/>
      <c r="K125" s="156"/>
      <c r="L125" s="157"/>
      <c r="M125" s="157"/>
      <c r="N125" s="157"/>
      <c r="O125" s="168"/>
      <c r="P125" s="168"/>
      <c r="Q125" s="158"/>
      <c r="R125" s="158"/>
      <c r="S125" s="158"/>
      <c r="T125" s="158"/>
      <c r="U125" s="153"/>
      <c r="V125" s="153"/>
      <c r="W125" s="158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  <c r="AH125" s="153"/>
      <c r="AI125" s="153"/>
      <c r="AJ125" s="153"/>
      <c r="AK125" s="153"/>
      <c r="AL125" s="153"/>
      <c r="AM125" s="152"/>
      <c r="AN125" s="152"/>
      <c r="AX125" s="153"/>
    </row>
    <row r="126" spans="3:50" ht="26.25" thickBot="1">
      <c r="C126" s="98"/>
      <c r="D126" s="42" t="s">
        <v>35</v>
      </c>
      <c r="E126" s="42" t="s">
        <v>1</v>
      </c>
      <c r="F126" s="42" t="s">
        <v>36</v>
      </c>
      <c r="G126" s="42" t="s">
        <v>37</v>
      </c>
      <c r="H126" s="42" t="s">
        <v>38</v>
      </c>
      <c r="I126" s="42" t="s">
        <v>39</v>
      </c>
      <c r="J126" s="12"/>
      <c r="K126" s="12"/>
      <c r="L126" s="78"/>
      <c r="M126" s="78"/>
      <c r="N126" s="78"/>
      <c r="O126" s="79"/>
      <c r="P126" s="79"/>
      <c r="Q126">
        <f>CEILING((D129*E129*6*10.76/(1000*1000)+D129*F129*2*10.76/(1000*1000)+E129*F129*2*10.76/(1000*1000))*1000,100)</f>
        <v>0</v>
      </c>
      <c r="AM126" s="83"/>
      <c r="AN126" s="83"/>
    </row>
    <row r="127" spans="3:50">
      <c r="C127" s="99" t="s">
        <v>49</v>
      </c>
      <c r="D127" s="159" t="s">
        <v>50</v>
      </c>
      <c r="E127" s="160"/>
      <c r="F127" s="160"/>
      <c r="G127" s="160"/>
      <c r="H127" s="160"/>
      <c r="I127" s="161"/>
      <c r="J127" s="45"/>
      <c r="K127" s="45"/>
      <c r="L127" s="86"/>
      <c r="M127" s="86"/>
      <c r="N127" s="86"/>
      <c r="O127" s="87"/>
      <c r="P127" s="87"/>
      <c r="AM127" s="83"/>
      <c r="AN127" s="83"/>
    </row>
    <row r="128" spans="3:50">
      <c r="C128" s="116"/>
      <c r="D128" s="162" t="s">
        <v>51</v>
      </c>
      <c r="E128" s="163"/>
      <c r="F128" s="163"/>
      <c r="G128" s="163"/>
      <c r="H128" s="163"/>
      <c r="I128" s="164"/>
      <c r="J128" s="117"/>
      <c r="K128" s="117"/>
      <c r="L128" s="118"/>
      <c r="M128" s="118"/>
      <c r="N128" s="118"/>
      <c r="O128" s="119"/>
      <c r="P128" s="119"/>
      <c r="AM128" s="83"/>
      <c r="AN128" s="83"/>
    </row>
    <row r="129" spans="3:50">
      <c r="C129" s="98"/>
      <c r="D129" s="165"/>
      <c r="E129" s="166"/>
      <c r="F129" s="166"/>
      <c r="G129" s="166"/>
      <c r="H129" s="166"/>
      <c r="I129" s="167"/>
      <c r="J129" s="12"/>
      <c r="K129" s="12"/>
      <c r="L129" s="78"/>
      <c r="M129" s="78"/>
      <c r="N129" s="78"/>
      <c r="O129" s="79"/>
      <c r="P129" s="79"/>
      <c r="AM129" s="83"/>
      <c r="AN129" s="83"/>
    </row>
    <row r="130" spans="3:50">
      <c r="C130" s="98"/>
      <c r="D130" s="165"/>
      <c r="E130" s="166"/>
      <c r="F130" s="166"/>
      <c r="G130" s="166"/>
      <c r="H130" s="166"/>
      <c r="I130" s="167"/>
      <c r="J130" s="12"/>
      <c r="K130" s="12"/>
      <c r="L130" s="78"/>
      <c r="M130" s="78"/>
      <c r="N130" s="78"/>
      <c r="O130" s="79"/>
      <c r="P130" s="79"/>
      <c r="AM130" s="83"/>
      <c r="AN130" s="83"/>
    </row>
    <row r="131" spans="3:50">
      <c r="C131" s="98"/>
      <c r="D131" s="165"/>
      <c r="E131" s="166"/>
      <c r="F131" s="166"/>
      <c r="G131" s="166"/>
      <c r="H131" s="166"/>
      <c r="I131" s="167"/>
      <c r="J131" s="12"/>
      <c r="K131" s="12"/>
      <c r="L131" s="78"/>
      <c r="M131" s="78"/>
      <c r="N131" s="78"/>
      <c r="O131" s="79"/>
      <c r="P131" s="79"/>
      <c r="AM131" s="83"/>
      <c r="AN131" s="83"/>
    </row>
    <row r="132" spans="3:50">
      <c r="C132" s="98"/>
      <c r="D132" s="165"/>
      <c r="E132" s="166"/>
      <c r="F132" s="166"/>
      <c r="G132" s="166"/>
      <c r="H132" s="166"/>
      <c r="I132" s="167"/>
      <c r="J132" s="12"/>
      <c r="K132" s="12"/>
      <c r="L132" s="78"/>
      <c r="M132" s="78"/>
      <c r="N132" s="78"/>
      <c r="O132" s="79"/>
      <c r="P132" s="79"/>
      <c r="AM132" s="83"/>
      <c r="AN132" s="83"/>
    </row>
    <row r="133" spans="3:50">
      <c r="C133" s="98"/>
      <c r="D133" s="165"/>
      <c r="E133" s="166"/>
      <c r="F133" s="166"/>
      <c r="G133" s="166"/>
      <c r="H133" s="166"/>
      <c r="I133" s="167"/>
      <c r="J133" s="12"/>
      <c r="K133" s="12"/>
      <c r="L133" s="78"/>
      <c r="M133" s="78"/>
      <c r="N133" s="78"/>
      <c r="O133" s="79"/>
      <c r="P133" s="79"/>
      <c r="AM133" s="83"/>
      <c r="AN133" s="83"/>
    </row>
    <row r="134" spans="3:50">
      <c r="C134" s="98"/>
      <c r="D134" s="165"/>
      <c r="E134" s="166"/>
      <c r="F134" s="166"/>
      <c r="G134" s="166"/>
      <c r="H134" s="166"/>
      <c r="I134" s="167"/>
      <c r="J134" s="12"/>
      <c r="K134" s="12"/>
      <c r="L134" s="78"/>
      <c r="M134" s="78"/>
      <c r="N134" s="78"/>
      <c r="O134" s="79"/>
      <c r="P134" s="79"/>
      <c r="AM134" s="83"/>
      <c r="AN134" s="83"/>
    </row>
    <row r="135" spans="3:50">
      <c r="C135" s="98"/>
      <c r="D135" s="165"/>
      <c r="E135" s="166"/>
      <c r="F135" s="166"/>
      <c r="G135" s="166"/>
      <c r="H135" s="166"/>
      <c r="I135" s="167"/>
      <c r="J135" s="12"/>
      <c r="K135" s="12"/>
      <c r="L135" s="78"/>
      <c r="M135" s="78"/>
      <c r="N135" s="78"/>
      <c r="O135" s="79"/>
      <c r="P135" s="79"/>
      <c r="AM135" s="83"/>
      <c r="AN135" s="83"/>
    </row>
    <row r="136" spans="3:50">
      <c r="C136" s="98"/>
      <c r="D136" s="165"/>
      <c r="E136" s="166"/>
      <c r="F136" s="166"/>
      <c r="G136" s="166"/>
      <c r="H136" s="166"/>
      <c r="I136" s="167"/>
      <c r="J136" s="12"/>
      <c r="K136" s="12"/>
      <c r="L136" s="78"/>
      <c r="M136" s="78"/>
      <c r="N136" s="78"/>
      <c r="O136" s="79"/>
      <c r="P136" s="79"/>
      <c r="AM136" s="83"/>
      <c r="AN136" s="83"/>
    </row>
    <row r="137" spans="3:50">
      <c r="C137" s="98"/>
      <c r="D137" s="165"/>
      <c r="E137" s="166"/>
      <c r="F137" s="166"/>
      <c r="G137" s="166"/>
      <c r="H137" s="166"/>
      <c r="I137" s="167"/>
      <c r="J137" s="12"/>
      <c r="K137" s="12"/>
      <c r="L137" s="78"/>
      <c r="M137" s="78"/>
      <c r="N137" s="78"/>
      <c r="O137" s="79"/>
      <c r="P137" s="79"/>
      <c r="AM137" s="83"/>
      <c r="AN137" s="83"/>
    </row>
    <row r="138" spans="3:50" ht="16.5" customHeight="1">
      <c r="C138" s="98"/>
      <c r="D138" s="165"/>
      <c r="E138" s="166"/>
      <c r="F138" s="166"/>
      <c r="G138" s="166"/>
      <c r="H138" s="166"/>
      <c r="I138" s="167"/>
      <c r="J138" s="12"/>
      <c r="K138" s="12"/>
      <c r="L138" s="78"/>
      <c r="M138" s="78"/>
      <c r="N138" s="78"/>
      <c r="O138" s="79"/>
      <c r="P138" s="79"/>
      <c r="AM138" s="83"/>
      <c r="AN138" s="83"/>
    </row>
    <row r="139" spans="3:50" ht="16.5" customHeight="1">
      <c r="C139" s="98"/>
      <c r="D139" s="185" t="s">
        <v>24</v>
      </c>
      <c r="E139" s="186"/>
      <c r="F139" s="186"/>
      <c r="G139" s="186"/>
      <c r="H139" s="186"/>
      <c r="I139" s="187"/>
      <c r="J139" s="12"/>
      <c r="K139" s="12"/>
      <c r="L139" s="78"/>
      <c r="M139" s="78"/>
      <c r="N139" s="78"/>
      <c r="O139" s="79"/>
      <c r="P139" s="79"/>
      <c r="AM139" s="83"/>
      <c r="AN139" s="83"/>
    </row>
    <row r="140" spans="3:50" ht="25.5">
      <c r="C140" s="116"/>
      <c r="D140" s="5" t="s">
        <v>25</v>
      </c>
      <c r="E140" s="5" t="s">
        <v>26</v>
      </c>
      <c r="F140" s="5" t="s">
        <v>27</v>
      </c>
      <c r="G140" s="5" t="s">
        <v>28</v>
      </c>
      <c r="H140" s="5" t="s">
        <v>29</v>
      </c>
      <c r="I140" s="5" t="s">
        <v>30</v>
      </c>
      <c r="J140" s="117"/>
      <c r="K140" s="117"/>
      <c r="L140" s="118"/>
      <c r="M140" s="118"/>
      <c r="N140" s="118"/>
      <c r="O140" s="119"/>
      <c r="P140" s="119"/>
      <c r="AM140" s="83"/>
      <c r="AN140" s="83"/>
    </row>
    <row r="141" spans="3:50">
      <c r="C141" s="154" t="s">
        <v>52</v>
      </c>
      <c r="D141" s="5">
        <f>IF(G141&lt;=2000,950,(IF(G141&lt;=3000,1150,(IF(G141&lt;=8000,1550,(IF(G141&lt;=10000,1750,(IF(G141&lt;=18000,2050,(IF(G141&lt;=32000,2900,(IF(G141&lt;=40000,3600,4000)))))))))))))</f>
        <v>950</v>
      </c>
      <c r="E141" s="5">
        <f>IF(G141&lt;=2000,950,(IF(G141&lt;=4000,1100,(IF(G141&lt;=6000,1250,(IF(G141&lt;=10000,1550,(IF(G141&lt;=15000,1750,(IF(G141&lt;=24000,2050,(IF(G141&lt;=40000,2900,3600)))))))))))))</f>
        <v>950</v>
      </c>
      <c r="F141" s="5">
        <f>H141+I141+G142+300</f>
        <v>5400</v>
      </c>
      <c r="G141" s="6">
        <v>1850</v>
      </c>
      <c r="H141" s="5">
        <f>IF(D142&lt;=315,1600,(IF(D142=355,1650,(IF(D142=400,1650,(IF(D142=450,1700,(IF(D142=500,1700,(IF(D142=560,1800,(IF(D142=630,2000,(IF(D142=710,2200,2500)))))))))))))))</f>
        <v>1600</v>
      </c>
      <c r="I141" s="5">
        <f>IF(H142=2,1800,(IF(H142=3,2300,(IF(H142=4,3300,0)))))</f>
        <v>2300</v>
      </c>
      <c r="J141" s="156" t="s">
        <v>32</v>
      </c>
      <c r="K141" s="156">
        <v>1</v>
      </c>
      <c r="L141" s="157">
        <f>Q141*0.9</f>
        <v>185625</v>
      </c>
      <c r="M141" s="157">
        <f>L141*K141</f>
        <v>185625</v>
      </c>
      <c r="N141" s="157">
        <f>Q141*0.1</f>
        <v>20625</v>
      </c>
      <c r="O141" s="168">
        <f>N141*K141</f>
        <v>20625</v>
      </c>
      <c r="P141" s="168">
        <v>206250</v>
      </c>
      <c r="Q141" s="158">
        <f>CEILING((S141+T141+U141+V141+W141),250)</f>
        <v>206250</v>
      </c>
      <c r="R141" s="158">
        <v>625</v>
      </c>
      <c r="S141" s="158">
        <f>(D141*E141*3*10.76+D141*F141*2*10.76+E141*F141*2*10.76)*R141/(1000*1000)</f>
        <v>156204.9375</v>
      </c>
      <c r="T141" s="158">
        <f>F142*4*1050</f>
        <v>0</v>
      </c>
      <c r="U141" s="153">
        <f>IF(G141&lt;=2000,5000,(IF(G141&lt;=5000,8000,(IF(G141&lt;=10000,10000,(IF(G141&lt;=18000,15000,(IF(G141&lt;=40000,20000,10000)))))))))</f>
        <v>5000</v>
      </c>
      <c r="V141" s="153">
        <f>IF(X141=200,17150,(IF(X141=225,18150,(IF(X141=250,18900,(IF(X141=280,19150,(IF(X141=315,19650,(IF(X141=355,21900,(IF(X141=400,24400,0)))))))))))))+IF(X141=450,31000,(IF(X141=500,37450,(IF(X141=560,45650,(IF(X141=630,58900,(IF(X141=710,77950,0)))))))))+IF(X141=800,119650,(IF(X141=900,153300,(IF(X141=1000,178900,(IF(X141=1120,286500,(IF(X141=1250,394500,(IF(X141=1450,461500,0)))))))))))</f>
        <v>18900</v>
      </c>
      <c r="W141" s="158">
        <f>IF(E142=0.5,16600,(IF(E142=1,19050,(IF(E142=1.5,21750,(IF(E142=2,23600,(IF(E142=3,30000,(IF(E142=5,38000,0)))))))))))*1.2+IF(E142=7.5,52300,(IF(E142=10,59600,0)))*1.2+IF(E142=12.5,100350,(IF(E142=15,106000,(IF(E142=20,129150,(IF(E142=25,146050,(IF(E142=30,173600,(IF(E142=40,233900,(IF(E142=50,304650)))))))))))))*1.2</f>
        <v>26100</v>
      </c>
      <c r="X141" s="153">
        <f>IF(G141&lt;=5250,Z141,Y141)</f>
        <v>250</v>
      </c>
      <c r="Y141" s="153">
        <f>IF(G141&lt;=6750,450,(IF(G141&lt;=8500,500,(IF(G141&lt;=10750,560,(IF(G141&lt;=13500,630,(IF(G141&lt;=17000,710,(IF(G141&lt;=21500,800,(IF(G141&lt;=27000,900,(IF(G141&lt;=34000,1000,0)))))))))))))))</f>
        <v>450</v>
      </c>
      <c r="Z141" s="153">
        <f>IF(G141&lt;=1300,200,(IF(G141&lt;=1600,225,(IF(G141&lt;=2100,250,(IF(G141&lt;=2700,280,(IF(G141&lt;=3450,315,(IF(G141&lt;=4250,355,(IF(G141&lt;=5250,400,(IF(G141&lt;=6750,450,0)))))))))))))))</f>
        <v>250</v>
      </c>
      <c r="AA141" s="153">
        <f>IF(G141&lt;=2000,5000,(IF(G141&lt;=5000,8000,(IF(G141&lt;=10000,10000,(IF(G141&lt;=18000,15000,(IF(G141&lt;=40000,20000,10000)))))))))</f>
        <v>5000</v>
      </c>
      <c r="AB141" s="153">
        <f>IF(D141=950,2,(IF(D141=1150,3,(IF(D141=1550,4,(IF(D141=1750,5,(IF(D141=2050,6,(IF(D141=2900,8,(IF(D141=3600,10,1)))))))))))))</f>
        <v>2</v>
      </c>
      <c r="AC141" s="153">
        <f>IF(E141=950,2,(IF(E141=1100,2,(IF(E141=1250,3,(IF(E141=1550,4,(IF(E141=1750,5,(IF(E141=2050,6,(IF(E141=2900,8,(IF(E141=3600,10,1)))))))))))))))</f>
        <v>2</v>
      </c>
      <c r="AD141" s="153">
        <f>AC141*AB141</f>
        <v>4</v>
      </c>
      <c r="AE141" s="153">
        <v>150</v>
      </c>
      <c r="AF141" s="153">
        <f>CEILING((SQRT(G141/1000))*4*2*AE141*1.25*K141,100)</f>
        <v>2100</v>
      </c>
      <c r="AG141" s="153">
        <f>AB141*AC141</f>
        <v>4</v>
      </c>
      <c r="AH141" s="153">
        <f>AC141*AB141</f>
        <v>4</v>
      </c>
      <c r="AI141" s="153">
        <f>AC141*AB141</f>
        <v>4</v>
      </c>
      <c r="AJ141" s="153">
        <f>AC141*AB141</f>
        <v>4</v>
      </c>
      <c r="AK141" s="153"/>
      <c r="AL141" s="153"/>
      <c r="AM141" s="152">
        <f>(G141*2.2/1100)</f>
        <v>3.7000000000000006</v>
      </c>
      <c r="AN141" s="152">
        <f>(G141*1/1100)</f>
        <v>1.6818181818181819</v>
      </c>
      <c r="AX141" s="153"/>
    </row>
    <row r="142" spans="3:50">
      <c r="C142" s="155"/>
      <c r="D142" s="5">
        <f>IF(G141&lt;=5250,Z141,Y141)</f>
        <v>250</v>
      </c>
      <c r="E142" s="5">
        <v>1.5</v>
      </c>
      <c r="F142" s="5">
        <v>0</v>
      </c>
      <c r="G142" s="5">
        <f>IF(I142=4,600,(IF(I142=6,800,(IF(I142=8,1000,1200)))))</f>
        <v>1200</v>
      </c>
      <c r="H142" s="5">
        <v>3</v>
      </c>
      <c r="I142" s="5">
        <v>0</v>
      </c>
      <c r="J142" s="156"/>
      <c r="K142" s="156"/>
      <c r="L142" s="157"/>
      <c r="M142" s="157"/>
      <c r="N142" s="157"/>
      <c r="O142" s="168"/>
      <c r="P142" s="168"/>
      <c r="Q142" s="158"/>
      <c r="R142" s="158"/>
      <c r="S142" s="158"/>
      <c r="T142" s="158"/>
      <c r="U142" s="153"/>
      <c r="V142" s="153"/>
      <c r="W142" s="158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  <c r="AH142" s="153"/>
      <c r="AI142" s="153"/>
      <c r="AJ142" s="153"/>
      <c r="AK142" s="153"/>
      <c r="AL142" s="153"/>
      <c r="AM142" s="152"/>
      <c r="AN142" s="152"/>
      <c r="AX142" s="153"/>
    </row>
    <row r="143" spans="3:50">
      <c r="C143" s="154" t="s">
        <v>53</v>
      </c>
      <c r="D143" s="5">
        <f>IF(G143&lt;=2000,950,(IF(G143&lt;=3000,1150,(IF(G143&lt;=8000,1550,(IF(G143&lt;=10000,1750,(IF(G143&lt;=18000,2050,(IF(G143&lt;=32000,2900,(IF(G143&lt;=40000,3600,4000)))))))))))))</f>
        <v>950</v>
      </c>
      <c r="E143" s="5">
        <f>IF(G143&lt;=2000,950,(IF(G143&lt;=4000,1100,(IF(G143&lt;=6000,1250,(IF(G143&lt;=10000,1550,(IF(G143&lt;=15000,1750,(IF(G143&lt;=24000,2050,(IF(G143&lt;=40000,2900,3600)))))))))))))</f>
        <v>950</v>
      </c>
      <c r="F143" s="5">
        <f>H143+I143+G144+300</f>
        <v>5400</v>
      </c>
      <c r="G143" s="6">
        <v>1950</v>
      </c>
      <c r="H143" s="5">
        <f>IF(D144&lt;=315,1600,(IF(D144=355,1650,(IF(D144=400,1650,(IF(D144=450,1700,(IF(D144=500,1700,(IF(D144=560,1800,(IF(D144=630,2000,(IF(D144=710,2200,2500)))))))))))))))</f>
        <v>1600</v>
      </c>
      <c r="I143" s="5">
        <f>IF(H144=2,1800,(IF(H144=3,2300,(IF(H144=4,3300,0)))))</f>
        <v>2300</v>
      </c>
      <c r="J143" s="156" t="s">
        <v>32</v>
      </c>
      <c r="K143" s="156">
        <v>1</v>
      </c>
      <c r="L143" s="157">
        <f>Q143*0.9</f>
        <v>185625</v>
      </c>
      <c r="M143" s="157">
        <f>L143*K143</f>
        <v>185625</v>
      </c>
      <c r="N143" s="157">
        <f>Q143*0.1</f>
        <v>20625</v>
      </c>
      <c r="O143" s="168">
        <f>N143*K143</f>
        <v>20625</v>
      </c>
      <c r="P143" s="168">
        <v>206250</v>
      </c>
      <c r="Q143" s="158">
        <f>CEILING((S143+T143+U143+V143+W143),250)</f>
        <v>206250</v>
      </c>
      <c r="R143" s="158">
        <v>625</v>
      </c>
      <c r="S143" s="158">
        <f>(D143*E143*3*10.76+D143*F143*2*10.76+E143*F143*2*10.76)*R143/(1000*1000)</f>
        <v>156204.9375</v>
      </c>
      <c r="T143" s="158">
        <f>F144*4*1050</f>
        <v>0</v>
      </c>
      <c r="U143" s="153">
        <f>IF(G143&lt;=2000,5000,(IF(G143&lt;=5000,8000,(IF(G143&lt;=10000,10000,(IF(G143&lt;=18000,15000,(IF(G143&lt;=40000,20000,10000)))))))))</f>
        <v>5000</v>
      </c>
      <c r="V143" s="153">
        <f>IF(X143=200,17150,(IF(X143=225,18150,(IF(X143=250,18900,(IF(X143=280,19150,(IF(X143=315,19650,(IF(X143=355,21900,(IF(X143=400,24400,0)))))))))))))+IF(X143=450,31000,(IF(X143=500,37450,(IF(X143=560,45650,(IF(X143=630,58900,(IF(X143=710,77950,0)))))))))+IF(X143=800,119650,(IF(X143=900,153300,(IF(X143=1000,178900,(IF(X143=1120,286500,(IF(X143=1250,394500,(IF(X143=1450,461500,0)))))))))))</f>
        <v>18900</v>
      </c>
      <c r="W143" s="158">
        <f>IF(E144=0.5,16600,(IF(E144=1,19050,(IF(E144=1.5,21750,(IF(E144=2,23600,(IF(E144=3,30000,(IF(E144=5,38000,0)))))))))))*1.2+IF(E144=7.5,52300,(IF(E144=10,59600,0)))*1.2+IF(E144=12.5,100350,(IF(E144=15,106000,(IF(E144=20,129150,(IF(E144=25,146050,(IF(E144=30,173600,(IF(E144=40,233900,(IF(E144=50,304650)))))))))))))*1.2</f>
        <v>26100</v>
      </c>
      <c r="X143" s="153">
        <f>IF(G143&lt;=5250,Z143,Y143)</f>
        <v>250</v>
      </c>
      <c r="Y143" s="153">
        <f>IF(G143&lt;=6750,450,(IF(G143&lt;=8500,500,(IF(G143&lt;=10750,560,(IF(G143&lt;=13500,630,(IF(G143&lt;=17000,710,(IF(G143&lt;=21500,800,(IF(G143&lt;=27000,900,(IF(G143&lt;=34000,1000,0)))))))))))))))</f>
        <v>450</v>
      </c>
      <c r="Z143" s="153">
        <f>IF(G143&lt;=1300,200,(IF(G143&lt;=1600,225,(IF(G143&lt;=2100,250,(IF(G143&lt;=2700,280,(IF(G143&lt;=3450,315,(IF(G143&lt;=4250,355,(IF(G143&lt;=5250,400,(IF(G143&lt;=6750,450,0)))))))))))))))</f>
        <v>250</v>
      </c>
      <c r="AA143" s="153">
        <f>IF(G143&lt;=2000,5000,(IF(G143&lt;=5000,8000,(IF(G143&lt;=10000,10000,(IF(G143&lt;=18000,15000,(IF(G143&lt;=40000,20000,10000)))))))))</f>
        <v>5000</v>
      </c>
      <c r="AB143" s="153">
        <f>IF(D143=950,2,(IF(D143=1150,3,(IF(D143=1550,4,(IF(D143=1750,5,(IF(D143=2050,6,(IF(D143=2900,8,(IF(D143=3600,10,1)))))))))))))</f>
        <v>2</v>
      </c>
      <c r="AC143" s="153">
        <f>IF(E143=950,2,(IF(E143=1100,2,(IF(E143=1250,3,(IF(E143=1550,4,(IF(E143=1750,5,(IF(E143=2050,6,(IF(E143=2900,8,(IF(E143=3600,10,1)))))))))))))))</f>
        <v>2</v>
      </c>
      <c r="AD143" s="153">
        <f>AC143*AB143</f>
        <v>4</v>
      </c>
      <c r="AE143" s="153">
        <v>150</v>
      </c>
      <c r="AF143" s="153">
        <f>CEILING((SQRT(G143/1000))*4*2*AE143*1.25*K143,100)</f>
        <v>2100</v>
      </c>
      <c r="AG143" s="153">
        <f>AB143*AC143</f>
        <v>4</v>
      </c>
      <c r="AH143" s="153">
        <f>AC143*AB143</f>
        <v>4</v>
      </c>
      <c r="AI143" s="153">
        <f>AC143*AB143</f>
        <v>4</v>
      </c>
      <c r="AJ143" s="153">
        <f>AC143*AB143</f>
        <v>4</v>
      </c>
      <c r="AK143" s="153"/>
      <c r="AL143" s="153"/>
      <c r="AM143" s="152">
        <f>(G143*2.2/1100)</f>
        <v>3.9</v>
      </c>
      <c r="AN143" s="152">
        <f>(G143*1/1100)</f>
        <v>1.7727272727272727</v>
      </c>
    </row>
    <row r="144" spans="3:50">
      <c r="C144" s="155"/>
      <c r="D144" s="5">
        <f>IF(G143&lt;=5250,Z143,Y143)</f>
        <v>250</v>
      </c>
      <c r="E144" s="5">
        <v>1.5</v>
      </c>
      <c r="F144" s="5">
        <v>0</v>
      </c>
      <c r="G144" s="5">
        <f>IF(I144=4,600,(IF(I144=6,800,(IF(I144=8,1000,1200)))))</f>
        <v>1200</v>
      </c>
      <c r="H144" s="5">
        <v>3</v>
      </c>
      <c r="I144" s="5">
        <v>0</v>
      </c>
      <c r="J144" s="156"/>
      <c r="K144" s="156"/>
      <c r="L144" s="157"/>
      <c r="M144" s="157"/>
      <c r="N144" s="157"/>
      <c r="O144" s="168"/>
      <c r="P144" s="168"/>
      <c r="Q144" s="158"/>
      <c r="R144" s="158"/>
      <c r="S144" s="158"/>
      <c r="T144" s="158"/>
      <c r="U144" s="153"/>
      <c r="V144" s="153"/>
      <c r="W144" s="158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  <c r="AH144" s="153"/>
      <c r="AI144" s="153"/>
      <c r="AJ144" s="153"/>
      <c r="AK144" s="153"/>
      <c r="AL144" s="153"/>
      <c r="AM144" s="152"/>
      <c r="AN144" s="152"/>
    </row>
    <row r="145" spans="3:50" ht="26.25" thickBot="1">
      <c r="C145" s="98"/>
      <c r="D145" s="42" t="s">
        <v>35</v>
      </c>
      <c r="E145" s="42" t="s">
        <v>1</v>
      </c>
      <c r="F145" s="42" t="s">
        <v>36</v>
      </c>
      <c r="G145" s="42" t="s">
        <v>37</v>
      </c>
      <c r="H145" s="42" t="s">
        <v>38</v>
      </c>
      <c r="I145" s="42" t="s">
        <v>39</v>
      </c>
      <c r="J145" s="12"/>
      <c r="K145" s="12"/>
      <c r="L145" s="78"/>
      <c r="M145" s="78"/>
      <c r="N145" s="78"/>
      <c r="O145" s="79"/>
      <c r="P145" s="79"/>
      <c r="Q145">
        <f>CEILING((D148*E148*6*10.76/(1000*1000)+D148*F148*2*10.76/(1000*1000)+E148*F148*2*10.76/(1000*1000))*1000,100)</f>
        <v>453500</v>
      </c>
      <c r="AM145" s="83"/>
      <c r="AN145" s="83"/>
    </row>
    <row r="146" spans="3:50">
      <c r="C146" s="154" t="s">
        <v>54</v>
      </c>
      <c r="D146" s="5">
        <f>IF(G146&lt;=2000,950,(IF(G146&lt;=3000,1150,(IF(G146&lt;=8000,1550,(IF(G146&lt;=10000,1750,(IF(G146&lt;=18000,2050,(IF(G146&lt;=32000,2900,(IF(G146&lt;=40000,3600,4000)))))))))))))</f>
        <v>1550</v>
      </c>
      <c r="E146" s="5">
        <f>IF(G146&lt;=2000,950,(IF(G146&lt;=4000,1100,(IF(G146&lt;=6000,1250,(IF(G146&lt;=10000,1550,(IF(G146&lt;=15000,1750,(IF(G146&lt;=24000,2050,(IF(G146&lt;=40000,2900,3600)))))))))))))</f>
        <v>1100</v>
      </c>
      <c r="F146" s="5">
        <f>H146+I146+G147+300</f>
        <v>5450</v>
      </c>
      <c r="G146" s="6">
        <v>3900</v>
      </c>
      <c r="H146" s="5">
        <f>IF(D147&lt;=315,1600,(IF(D147=355,1650,(IF(D147=400,1650,(IF(D147=450,1700,(IF(D147=500,1700,(IF(D147=560,1800,(IF(D147=630,2000,(IF(D147=710,2200,2500)))))))))))))))</f>
        <v>1650</v>
      </c>
      <c r="I146" s="5">
        <f>IF(H147=2,1800,(IF(H147=3,2300,(IF(H147=4,3300,0)))))</f>
        <v>2300</v>
      </c>
      <c r="J146" s="156" t="s">
        <v>32</v>
      </c>
      <c r="K146" s="156">
        <v>1</v>
      </c>
      <c r="L146" s="157">
        <f>Q146*0.9</f>
        <v>273825</v>
      </c>
      <c r="M146" s="157">
        <f>L146*K146</f>
        <v>273825</v>
      </c>
      <c r="N146" s="157">
        <f>Q146*0.1</f>
        <v>30425</v>
      </c>
      <c r="O146" s="168">
        <f>N146*K146</f>
        <v>30425</v>
      </c>
      <c r="P146" s="168">
        <v>304250</v>
      </c>
      <c r="Q146" s="158">
        <f>CEILING((S146+T146+U146+V146+W146),250)</f>
        <v>304250</v>
      </c>
      <c r="R146" s="158">
        <v>625</v>
      </c>
      <c r="S146" s="158">
        <f>(D146*E146*3*10.76+D146*F146*2*10.76+E146*F146*2*10.76)*R146/(1000*1000)</f>
        <v>228650</v>
      </c>
      <c r="T146" s="158">
        <f>F147*4*1050</f>
        <v>0</v>
      </c>
      <c r="U146" s="153">
        <f>IF(G146&lt;=2000,5000,(IF(G146&lt;=5000,8000,(IF(G146&lt;=10000,10000,(IF(G146&lt;=18000,15000,(IF(G146&lt;=40000,20000,10000)))))))))</f>
        <v>8000</v>
      </c>
      <c r="V146" s="153">
        <f>IF(X146=200,17150,(IF(X146=225,18150,(IF(X146=250,18900,(IF(X146=280,19150,(IF(X146=315,19650,(IF(X146=355,21900,(IF(X146=400,24400,0)))))))))))))+IF(X146=450,31000,(IF(X146=500,37450,(IF(X146=560,45650,(IF(X146=630,58900,(IF(X146=710,77950,0)))))))))+IF(X146=800,119650,(IF(X146=900,153300,(IF(X146=1000,178900,(IF(X146=1120,286500,(IF(X146=1250,394500,(IF(X146=1450,461500,0)))))))))))</f>
        <v>21900</v>
      </c>
      <c r="W146" s="158">
        <f>IF(E147=0.5,16600,(IF(E147=1,19050,(IF(E147=1.5,21750,(IF(E147=2,23600,(IF(E147=3,30000,(IF(E147=5,38000,0)))))))))))*1.2+IF(E147=7.5,52300,(IF(E147=10,59600,0)))*1.2+IF(E147=12.5,100350,(IF(E147=15,106000,(IF(E147=20,129150,(IF(E147=25,146050,(IF(E147=30,173600,(IF(E147=40,233900,(IF(E147=50,304650)))))))))))))*1.2</f>
        <v>45600</v>
      </c>
      <c r="X146" s="153">
        <f>IF(G146&lt;=5250,Z146,Y146)</f>
        <v>355</v>
      </c>
      <c r="Y146" s="153">
        <f>IF(G146&lt;=6750,450,(IF(G146&lt;=8500,500,(IF(G146&lt;=10750,560,(IF(G146&lt;=13500,630,(IF(G146&lt;=17000,710,(IF(G146&lt;=21500,800,(IF(G146&lt;=27000,900,(IF(G146&lt;=34000,1000,0)))))))))))))))</f>
        <v>450</v>
      </c>
      <c r="Z146" s="153">
        <f>IF(G146&lt;=1300,200,(IF(G146&lt;=1600,225,(IF(G146&lt;=2100,250,(IF(G146&lt;=2700,280,(IF(G146&lt;=3450,315,(IF(G146&lt;=4250,355,(IF(G146&lt;=5250,400,(IF(G146&lt;=6750,450,0)))))))))))))))</f>
        <v>355</v>
      </c>
      <c r="AA146" s="153">
        <f>IF(G146&lt;=2000,5000,(IF(G146&lt;=5000,8000,(IF(G146&lt;=10000,10000,(IF(G146&lt;=18000,15000,(IF(G146&lt;=40000,20000,10000)))))))))</f>
        <v>8000</v>
      </c>
      <c r="AB146" s="153">
        <f>IF(D146=950,2,(IF(D146=1150,3,(IF(D146=1550,4,(IF(D146=1750,5,(IF(D146=2050,6,(IF(D146=2900,8,(IF(D146=3600,10,1)))))))))))))</f>
        <v>4</v>
      </c>
      <c r="AC146" s="153">
        <f>IF(E146=950,2,(IF(E146=1100,2,(IF(E146=1250,3,(IF(E146=1550,4,(IF(E146=1750,5,(IF(E146=2050,6,(IF(E146=2900,8,(IF(E146=3600,10,1)))))))))))))))</f>
        <v>2</v>
      </c>
      <c r="AD146" s="153">
        <f>AC146*AB146</f>
        <v>8</v>
      </c>
      <c r="AE146" s="153">
        <v>150</v>
      </c>
      <c r="AF146" s="153">
        <f>CEILING((SQRT(G146/1000))*4*2*AE146*1.25*K146,100)</f>
        <v>3000</v>
      </c>
      <c r="AG146" s="153">
        <f>AB146*AC146</f>
        <v>8</v>
      </c>
      <c r="AH146" s="153">
        <f>AC146*AB146</f>
        <v>8</v>
      </c>
      <c r="AI146" s="153">
        <f>AC146*AB146</f>
        <v>8</v>
      </c>
      <c r="AJ146" s="153">
        <f>AC146*AB146</f>
        <v>8</v>
      </c>
      <c r="AK146" s="153"/>
      <c r="AL146" s="153"/>
      <c r="AM146" s="152">
        <f>(G146*2.2/1100)</f>
        <v>7.8</v>
      </c>
      <c r="AN146" s="152">
        <f>(G146*1/1100)</f>
        <v>3.5454545454545454</v>
      </c>
      <c r="AX146" s="153"/>
    </row>
    <row r="147" spans="3:50">
      <c r="C147" s="155"/>
      <c r="D147" s="5">
        <f>IF(G146&lt;=5250,Z146,Y146)</f>
        <v>355</v>
      </c>
      <c r="E147" s="5">
        <v>5</v>
      </c>
      <c r="F147" s="5">
        <v>0</v>
      </c>
      <c r="G147" s="5">
        <f>IF(I147=4,600,(IF(I147=6,800,(IF(I147=8,1000,1200)))))</f>
        <v>1200</v>
      </c>
      <c r="H147" s="5">
        <v>3</v>
      </c>
      <c r="I147" s="5">
        <v>0</v>
      </c>
      <c r="J147" s="156"/>
      <c r="K147" s="156"/>
      <c r="L147" s="157"/>
      <c r="M147" s="157"/>
      <c r="N147" s="157"/>
      <c r="O147" s="168"/>
      <c r="P147" s="168"/>
      <c r="Q147" s="158"/>
      <c r="R147" s="158"/>
      <c r="S147" s="158"/>
      <c r="T147" s="158"/>
      <c r="U147" s="153"/>
      <c r="V147" s="153"/>
      <c r="W147" s="158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  <c r="AH147" s="153"/>
      <c r="AI147" s="153"/>
      <c r="AJ147" s="153"/>
      <c r="AK147" s="153"/>
      <c r="AL147" s="153"/>
      <c r="AM147" s="152"/>
      <c r="AN147" s="152"/>
      <c r="AX147" s="153"/>
    </row>
    <row r="148" spans="3:50">
      <c r="C148" s="154" t="s">
        <v>55</v>
      </c>
      <c r="D148" s="5">
        <f>IF(G148&lt;=2000,950,(IF(G148&lt;=3000,1150,(IF(G148&lt;=8000,1550,(IF(G148&lt;=10000,1750,(IF(G148&lt;=18000,2050,(IF(G148&lt;=32000,2900,(IF(G148&lt;=40000,3600,4000)))))))))))))</f>
        <v>1550</v>
      </c>
      <c r="E148" s="5">
        <f>IF(G148&lt;=2000,950,(IF(G148&lt;=4000,1100,(IF(G148&lt;=6000,1250,(IF(G148&lt;=10000,1550,(IF(G148&lt;=15000,1750,(IF(G148&lt;=24000,2050,(IF(G148&lt;=40000,2900,3600)))))))))))))</f>
        <v>1250</v>
      </c>
      <c r="F148" s="5">
        <f>H148+I148+G149+300</f>
        <v>5450</v>
      </c>
      <c r="G148" s="6">
        <v>4450</v>
      </c>
      <c r="H148" s="5">
        <f>IF(D149&lt;=315,1600,(IF(D149=355,1650,(IF(D149=400,1650,(IF(D149=450,1700,(IF(D149=500,1700,(IF(D149=560,1800,(IF(D149=630,2000,(IF(D149=710,2200,2500)))))))))))))))</f>
        <v>1650</v>
      </c>
      <c r="I148" s="5">
        <f>IF(H149=2,1800,(IF(H149=3,2300,(IF(H149=4,3300,0)))))</f>
        <v>2300</v>
      </c>
      <c r="J148" s="156" t="s">
        <v>32</v>
      </c>
      <c r="K148" s="156">
        <v>1</v>
      </c>
      <c r="L148" s="157">
        <f>Q148*0.9</f>
        <v>290250</v>
      </c>
      <c r="M148" s="157">
        <f>L148*K148</f>
        <v>290250</v>
      </c>
      <c r="N148" s="157">
        <f>Q148*0.1</f>
        <v>32250</v>
      </c>
      <c r="O148" s="168">
        <f>N148*K148</f>
        <v>32250</v>
      </c>
      <c r="P148" s="168">
        <v>322500</v>
      </c>
      <c r="Q148" s="158">
        <f>CEILING((S148+T148+U148+V148+W148),250)</f>
        <v>322500</v>
      </c>
      <c r="R148" s="158">
        <v>625</v>
      </c>
      <c r="S148" s="158">
        <f>(D148*E148*3*10.76+D148*F148*2*10.76+E148*F148*2*10.76)*R148/(1000*1000)</f>
        <v>244336.0625</v>
      </c>
      <c r="T148" s="158">
        <f>F149*4*1050</f>
        <v>0</v>
      </c>
      <c r="U148" s="153">
        <f>IF(G148&lt;=2000,5000,(IF(G148&lt;=5000,8000,(IF(G148&lt;=10000,10000,(IF(G148&lt;=18000,15000,(IF(G148&lt;=40000,20000,10000)))))))))</f>
        <v>8000</v>
      </c>
      <c r="V148" s="153">
        <f>IF(X148=200,17150,(IF(X148=225,18150,(IF(X148=250,18900,(IF(X148=280,19150,(IF(X148=315,19650,(IF(X148=355,21900,(IF(X148=400,24400,0)))))))))))))+IF(X148=450,31000,(IF(X148=500,37450,(IF(X148=560,45650,(IF(X148=630,58900,(IF(X148=710,77950,0)))))))))+IF(X148=800,119650,(IF(X148=900,153300,(IF(X148=1000,178900,(IF(X148=1120,286500,(IF(X148=1250,394500,(IF(X148=1450,461500,0)))))))))))</f>
        <v>24400</v>
      </c>
      <c r="W148" s="158">
        <f>IF(E149=0.5,16600,(IF(E149=1,19050,(IF(E149=1.5,21750,(IF(E149=2,23600,(IF(E149=3,30000,(IF(E149=5,38000,0)))))))))))*1.2+IF(E149=7.5,52300,(IF(E149=10,59600,0)))*1.2+IF(E149=12.5,100350,(IF(E149=15,106000,(IF(E149=20,129150,(IF(E149=25,146050,(IF(E149=30,173600,(IF(E149=40,233900,(IF(E149=50,304650)))))))))))))*1.2</f>
        <v>45600</v>
      </c>
      <c r="X148" s="153">
        <f>IF(G148&lt;=5250,Z148,Y148)</f>
        <v>400</v>
      </c>
      <c r="Y148" s="153">
        <f>IF(G148&lt;=6750,450,(IF(G148&lt;=8500,500,(IF(G148&lt;=10750,560,(IF(G148&lt;=13500,630,(IF(G148&lt;=17000,710,(IF(G148&lt;=21500,800,(IF(G148&lt;=27000,900,(IF(G148&lt;=34000,1000,0)))))))))))))))</f>
        <v>450</v>
      </c>
      <c r="Z148" s="153">
        <f>IF(G148&lt;=1300,200,(IF(G148&lt;=1600,225,(IF(G148&lt;=2100,250,(IF(G148&lt;=2700,280,(IF(G148&lt;=3450,315,(IF(G148&lt;=4250,355,(IF(G148&lt;=5250,400,(IF(G148&lt;=6750,450,0)))))))))))))))</f>
        <v>400</v>
      </c>
      <c r="AA148" s="153">
        <f>IF(G148&lt;=2000,5000,(IF(G148&lt;=5000,8000,(IF(G148&lt;=10000,10000,(IF(G148&lt;=18000,15000,(IF(G148&lt;=40000,20000,10000)))))))))</f>
        <v>8000</v>
      </c>
      <c r="AB148" s="153">
        <f>IF(D148=950,2,(IF(D148=1150,3,(IF(D148=1550,4,(IF(D148=1750,5,(IF(D148=2050,6,(IF(D148=2900,8,(IF(D148=3600,10,1)))))))))))))</f>
        <v>4</v>
      </c>
      <c r="AC148" s="153">
        <f>IF(E148=950,2,(IF(E148=1100,2,(IF(E148=1250,3,(IF(E148=1550,4,(IF(E148=1750,5,(IF(E148=2050,6,(IF(E148=2900,8,(IF(E148=3600,10,1)))))))))))))))</f>
        <v>3</v>
      </c>
      <c r="AD148" s="153">
        <f>AC148*AB148</f>
        <v>12</v>
      </c>
      <c r="AE148" s="153">
        <v>150</v>
      </c>
      <c r="AF148" s="153">
        <f>CEILING((SQRT(G148/1000))*4*2*AE148*1.25*K148,100)</f>
        <v>3200</v>
      </c>
      <c r="AG148" s="153">
        <f>AB148*AC148</f>
        <v>12</v>
      </c>
      <c r="AH148" s="153">
        <f>AC148*AB148</f>
        <v>12</v>
      </c>
      <c r="AI148" s="153">
        <f>AC148*AB148</f>
        <v>12</v>
      </c>
      <c r="AJ148" s="153">
        <f>AC148*AB148</f>
        <v>12</v>
      </c>
      <c r="AK148" s="153"/>
      <c r="AL148" s="153"/>
      <c r="AM148" s="152">
        <f>(G148*2.2/1100)</f>
        <v>8.9</v>
      </c>
      <c r="AN148" s="152">
        <f>(G148*1/1100)</f>
        <v>4.0454545454545459</v>
      </c>
      <c r="AX148" s="153"/>
    </row>
    <row r="149" spans="3:50">
      <c r="C149" s="155"/>
      <c r="D149" s="5">
        <f>IF(G148&lt;=5250,Z148,Y148)</f>
        <v>400</v>
      </c>
      <c r="E149" s="5">
        <v>5</v>
      </c>
      <c r="F149" s="5">
        <v>0</v>
      </c>
      <c r="G149" s="5">
        <f>IF(I149=4,600,(IF(I149=6,800,(IF(I149=8,1000,1200)))))</f>
        <v>1200</v>
      </c>
      <c r="H149" s="5">
        <v>3</v>
      </c>
      <c r="I149" s="5">
        <v>0</v>
      </c>
      <c r="J149" s="156"/>
      <c r="K149" s="156"/>
      <c r="L149" s="157"/>
      <c r="M149" s="157"/>
      <c r="N149" s="157"/>
      <c r="O149" s="168"/>
      <c r="P149" s="168"/>
      <c r="Q149" s="158"/>
      <c r="R149" s="158"/>
      <c r="S149" s="158"/>
      <c r="T149" s="158"/>
      <c r="U149" s="153"/>
      <c r="V149" s="153"/>
      <c r="W149" s="158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  <c r="AH149" s="153"/>
      <c r="AI149" s="153"/>
      <c r="AJ149" s="153"/>
      <c r="AK149" s="153"/>
      <c r="AL149" s="153"/>
      <c r="AM149" s="152"/>
      <c r="AN149" s="152"/>
      <c r="AX149" s="153"/>
    </row>
    <row r="150" spans="3:50" ht="15">
      <c r="C150" s="141"/>
      <c r="D150" s="185" t="s">
        <v>44</v>
      </c>
      <c r="E150" s="186"/>
      <c r="F150" s="186"/>
      <c r="G150" s="186"/>
      <c r="H150" s="186"/>
      <c r="I150" s="187"/>
      <c r="J150" s="12"/>
      <c r="K150" s="12"/>
      <c r="L150" s="78"/>
      <c r="M150" s="78"/>
      <c r="N150" s="78"/>
      <c r="O150" s="79"/>
      <c r="P150" s="79"/>
      <c r="Q150" s="134"/>
      <c r="R150" s="134"/>
      <c r="S150" s="134"/>
      <c r="T150" s="134"/>
      <c r="U150" s="132"/>
      <c r="V150" s="132"/>
      <c r="W150" s="134"/>
      <c r="X150" s="132"/>
      <c r="Y150" s="132"/>
      <c r="Z150" s="132"/>
      <c r="AA150" s="132"/>
      <c r="AB150" s="132"/>
      <c r="AC150" s="132"/>
      <c r="AD150" s="132"/>
      <c r="AE150" s="132"/>
      <c r="AF150" s="132"/>
      <c r="AG150" s="132"/>
      <c r="AH150" s="132"/>
      <c r="AI150" s="132"/>
      <c r="AJ150" s="132"/>
      <c r="AK150" s="132"/>
      <c r="AL150" s="132"/>
      <c r="AM150" s="133"/>
      <c r="AN150" s="133"/>
    </row>
    <row r="151" spans="3:50">
      <c r="C151" s="154" t="s">
        <v>56</v>
      </c>
      <c r="D151" s="5">
        <f>IF(G151&lt;=2000,950,(IF(G151&lt;=3000,1150,(IF(G151&lt;=8000,1550,(IF(G151&lt;=10000,1750,(IF(G151&lt;=18000,2050,(IF(G151&lt;=32000,2900,(IF(G151&lt;=40000,3600,4000)))))))))))))</f>
        <v>1750</v>
      </c>
      <c r="E151" s="5">
        <f>IF(G151&lt;=2000,950,(IF(G151&lt;=4000,1100,(IF(G151&lt;=6000,1250,(IF(G151&lt;=10000,1550,(IF(G151&lt;=15000,1750,(IF(G151&lt;=24000,2050,(IF(G151&lt;=40000,2900,3600)))))))))))))</f>
        <v>1550</v>
      </c>
      <c r="F151" s="5">
        <f>H151+I151+G152+300</f>
        <v>5600</v>
      </c>
      <c r="G151" s="6">
        <v>9000</v>
      </c>
      <c r="H151" s="5">
        <f>IF(D152&lt;=315,1600,(IF(D152=355,1650,(IF(D152=400,1650,(IF(D152=450,1700,(IF(D152=500,1700,(IF(D152=560,1800,(IF(D152=630,2000,(IF(D152=710,2200,2500)))))))))))))))</f>
        <v>1800</v>
      </c>
      <c r="I151" s="5">
        <f>IF(H152=2,1800,(IF(H152=3,2300,(IF(H152=4,3300,0)))))</f>
        <v>2300</v>
      </c>
      <c r="J151" s="156" t="s">
        <v>32</v>
      </c>
      <c r="K151" s="156">
        <v>2</v>
      </c>
      <c r="L151" s="157">
        <f>Q151*0.9</f>
        <v>364275</v>
      </c>
      <c r="M151" s="157">
        <f>L151*K151</f>
        <v>728550</v>
      </c>
      <c r="N151" s="157">
        <f>Q151*0.1</f>
        <v>40475</v>
      </c>
      <c r="O151" s="168">
        <f>N151*K151</f>
        <v>80950</v>
      </c>
      <c r="P151" s="168">
        <v>404750</v>
      </c>
      <c r="Q151" s="158">
        <f>CEILING((S151+T151+U151+V151+W151),250)</f>
        <v>404750</v>
      </c>
      <c r="R151" s="158">
        <v>625</v>
      </c>
      <c r="S151" s="158">
        <f>(D151*E151*3*10.76+D151*F151*2*10.76+E151*F151*2*10.76)*R151/(1000*1000)</f>
        <v>303280.6875</v>
      </c>
      <c r="T151" s="158">
        <f>F152*4*1050</f>
        <v>0</v>
      </c>
      <c r="U151" s="153">
        <f>IF(G151&lt;=2000,5000,(IF(G151&lt;=5000,8000,(IF(G151&lt;=10000,10000,(IF(G151&lt;=18000,15000,(IF(G151&lt;=40000,20000,10000)))))))))</f>
        <v>10000</v>
      </c>
      <c r="V151" s="153">
        <f>IF(X151=200,17150,(IF(X151=225,18150,(IF(X151=250,18900,(IF(X151=280,19150,(IF(X151=315,19650,(IF(X151=355,21900,(IF(X151=400,24400,0)))))))))))))+IF(X151=450,31000,(IF(X151=500,37450,(IF(X151=560,45650,(IF(X151=630,58900,(IF(X151=710,77950,0)))))))))+IF(X151=800,119650,(IF(X151=900,153300,(IF(X151=1000,178900,(IF(X151=1120,286500,(IF(X151=1250,394500,(IF(X151=1450,461500,0)))))))))))</f>
        <v>45650</v>
      </c>
      <c r="W151" s="158">
        <f>IF(E152=0.5,16600,(IF(E152=1,19050,(IF(E152=1.5,21750,(IF(E152=2,23600,(IF(E152=3,30000,(IF(E152=5,38000,0)))))))))))*1.2+IF(E152=7.5,52300,(IF(E152=10,59600,0)))*1.2+IF(E152=12.5,100350,(IF(E152=15,106000,(IF(E152=20,129150,(IF(E152=25,146050,(IF(E152=30,173600,(IF(E152=40,233900,(IF(E152=50,304650)))))))))))))*1.2</f>
        <v>45600</v>
      </c>
      <c r="X151" s="153">
        <f>IF(G151&lt;=5250,Z151,Y151)</f>
        <v>560</v>
      </c>
      <c r="Y151" s="153">
        <f>IF(G151&lt;=6750,450,(IF(G151&lt;=8500,500,(IF(G151&lt;=10750,560,(IF(G151&lt;=13500,630,(IF(G151&lt;=17000,710,(IF(G151&lt;=21500,800,(IF(G151&lt;=27000,900,(IF(G151&lt;=34000,1000,0)))))))))))))))</f>
        <v>560</v>
      </c>
      <c r="Z151" s="153">
        <f>IF(G151&lt;=1300,200,(IF(G151&lt;=1600,225,(IF(G151&lt;=2100,250,(IF(G151&lt;=2700,280,(IF(G151&lt;=3450,315,(IF(G151&lt;=4250,355,(IF(G151&lt;=5250,400,(IF(G151&lt;=6750,450,0)))))))))))))))</f>
        <v>0</v>
      </c>
      <c r="AA151" s="153">
        <f>IF(G151&lt;=2000,5000,(IF(G151&lt;=5000,8000,(IF(G151&lt;=10000,10000,(IF(G151&lt;=18000,15000,(IF(G151&lt;=40000,20000,10000)))))))))</f>
        <v>10000</v>
      </c>
      <c r="AB151" s="153">
        <f>IF(D151=950,2,(IF(D151=1150,3,(IF(D151=1550,4,(IF(D151=1750,5,(IF(D151=2050,6,(IF(D151=2900,8,(IF(D151=3600,10,1)))))))))))))</f>
        <v>5</v>
      </c>
      <c r="AC151" s="153">
        <f>IF(E151=950,2,(IF(E151=1100,2,(IF(E151=1250,3,(IF(E151=1550,4,(IF(E151=1750,5,(IF(E151=2050,6,(IF(E151=2900,8,(IF(E151=3600,10,1)))))))))))))))</f>
        <v>4</v>
      </c>
      <c r="AD151" s="153">
        <f>AC151*AB151</f>
        <v>20</v>
      </c>
      <c r="AE151" s="153">
        <v>150</v>
      </c>
      <c r="AF151" s="153">
        <f>CEILING((SQRT(G151/1000))*4*2*AE151*1.25*K151,100)</f>
        <v>9000</v>
      </c>
      <c r="AG151" s="153">
        <f>AB151*AC151</f>
        <v>20</v>
      </c>
      <c r="AH151" s="153">
        <f>AC151*AB151</f>
        <v>20</v>
      </c>
      <c r="AI151" s="153">
        <f>AC151*AB151</f>
        <v>20</v>
      </c>
      <c r="AJ151" s="153">
        <f>AC151*AB151</f>
        <v>20</v>
      </c>
      <c r="AK151" s="153"/>
      <c r="AL151" s="153"/>
      <c r="AM151" s="152">
        <f>(G151*2.2/1100)</f>
        <v>18</v>
      </c>
      <c r="AN151" s="152">
        <f>(G151*1/1100)</f>
        <v>8.1818181818181817</v>
      </c>
      <c r="AX151" s="153"/>
    </row>
    <row r="152" spans="3:50">
      <c r="C152" s="155"/>
      <c r="D152" s="5">
        <f>IF(G151&lt;=5250,Z151,Y151)</f>
        <v>560</v>
      </c>
      <c r="E152" s="5">
        <v>5</v>
      </c>
      <c r="F152" s="5">
        <v>0</v>
      </c>
      <c r="G152" s="5">
        <f>IF(I152=4,600,(IF(I152=6,800,(IF(I152=8,1000,1200)))))</f>
        <v>1200</v>
      </c>
      <c r="H152" s="5">
        <v>3</v>
      </c>
      <c r="I152" s="5">
        <v>0</v>
      </c>
      <c r="J152" s="156"/>
      <c r="K152" s="156"/>
      <c r="L152" s="157"/>
      <c r="M152" s="157"/>
      <c r="N152" s="157"/>
      <c r="O152" s="168"/>
      <c r="P152" s="168"/>
      <c r="Q152" s="158"/>
      <c r="R152" s="158"/>
      <c r="S152" s="158"/>
      <c r="T152" s="158"/>
      <c r="U152" s="153"/>
      <c r="V152" s="153"/>
      <c r="W152" s="158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  <c r="AH152" s="153"/>
      <c r="AI152" s="153"/>
      <c r="AJ152" s="153"/>
      <c r="AK152" s="153"/>
      <c r="AL152" s="153"/>
      <c r="AM152" s="152"/>
      <c r="AN152" s="152"/>
      <c r="AX152" s="153"/>
    </row>
    <row r="153" spans="3:50">
      <c r="C153" s="154" t="s">
        <v>57</v>
      </c>
      <c r="D153" s="5">
        <f>IF(G153&lt;=2000,950,(IF(G153&lt;=3000,1150,(IF(G153&lt;=8000,1550,(IF(G153&lt;=10000,1750,(IF(G153&lt;=18000,2050,(IF(G153&lt;=32000,2900,(IF(G153&lt;=40000,3600,4000)))))))))))))</f>
        <v>1750</v>
      </c>
      <c r="E153" s="5">
        <f>IF(G153&lt;=2000,950,(IF(G153&lt;=4000,1100,(IF(G153&lt;=6000,1250,(IF(G153&lt;=10000,1550,(IF(G153&lt;=15000,1750,(IF(G153&lt;=24000,2050,(IF(G153&lt;=40000,2900,3600)))))))))))))</f>
        <v>1550</v>
      </c>
      <c r="F153" s="5">
        <f>H153+I153+G154+300</f>
        <v>5600</v>
      </c>
      <c r="G153" s="6">
        <v>10000</v>
      </c>
      <c r="H153" s="5">
        <f>IF(D154&lt;=315,1600,(IF(D154=355,1650,(IF(D154=400,1650,(IF(D154=450,1700,(IF(D154=500,1700,(IF(D154=560,1800,(IF(D154=630,2000,(IF(D154=710,2200,2500)))))))))))))))</f>
        <v>1800</v>
      </c>
      <c r="I153" s="5">
        <f>IF(H154=2,1800,(IF(H154=3,2300,(IF(H154=4,3300,0)))))</f>
        <v>2300</v>
      </c>
      <c r="J153" s="156" t="s">
        <v>32</v>
      </c>
      <c r="K153" s="156">
        <v>2</v>
      </c>
      <c r="L153" s="157">
        <f>Q153*0.9</f>
        <v>364275</v>
      </c>
      <c r="M153" s="157">
        <f>L153*K153</f>
        <v>728550</v>
      </c>
      <c r="N153" s="157">
        <f>Q153*0.1</f>
        <v>40475</v>
      </c>
      <c r="O153" s="168">
        <f>N153*K153</f>
        <v>80950</v>
      </c>
      <c r="P153" s="168">
        <v>404750</v>
      </c>
      <c r="Q153" s="158">
        <f>CEILING((S153+T153+U153+V153+W153),250)</f>
        <v>404750</v>
      </c>
      <c r="R153" s="158">
        <v>625</v>
      </c>
      <c r="S153" s="158">
        <f>(D153*E153*3*10.76+D153*F153*2*10.76+E153*F153*2*10.76)*R153/(1000*1000)</f>
        <v>303280.6875</v>
      </c>
      <c r="T153" s="158">
        <f>F154*4*1050</f>
        <v>0</v>
      </c>
      <c r="U153" s="153">
        <f>IF(G153&lt;=2000,5000,(IF(G153&lt;=5000,8000,(IF(G153&lt;=10000,10000,(IF(G153&lt;=18000,15000,(IF(G153&lt;=40000,20000,10000)))))))))</f>
        <v>10000</v>
      </c>
      <c r="V153" s="153">
        <f>IF(X153=200,17150,(IF(X153=225,18150,(IF(X153=250,18900,(IF(X153=280,19150,(IF(X153=315,19650,(IF(X153=355,21900,(IF(X153=400,24400,0)))))))))))))+IF(X153=450,31000,(IF(X153=500,37450,(IF(X153=560,45650,(IF(X153=630,58900,(IF(X153=710,77950,0)))))))))+IF(X153=800,119650,(IF(X153=900,153300,(IF(X153=1000,178900,(IF(X153=1120,286500,(IF(X153=1250,394500,(IF(X153=1450,461500,0)))))))))))</f>
        <v>45650</v>
      </c>
      <c r="W153" s="158">
        <f>IF(E154=0.5,16600,(IF(E154=1,19050,(IF(E154=1.5,21750,(IF(E154=2,23600,(IF(E154=3,30000,(IF(E154=5,38000,0)))))))))))*1.2+IF(E154=7.5,52300,(IF(E154=10,59600,0)))*1.2+IF(E154=12.5,100350,(IF(E154=15,106000,(IF(E154=20,129150,(IF(E154=25,146050,(IF(E154=30,173600,(IF(E154=40,233900,(IF(E154=50,304650)))))))))))))*1.2</f>
        <v>45600</v>
      </c>
      <c r="X153" s="153">
        <f>IF(G153&lt;=5250,Z153,Y153)</f>
        <v>560</v>
      </c>
      <c r="Y153" s="153">
        <f>IF(G153&lt;=6750,450,(IF(G153&lt;=8500,500,(IF(G153&lt;=10750,560,(IF(G153&lt;=13500,630,(IF(G153&lt;=17000,710,(IF(G153&lt;=21500,800,(IF(G153&lt;=27000,900,(IF(G153&lt;=34000,1000,0)))))))))))))))</f>
        <v>560</v>
      </c>
      <c r="Z153" s="153">
        <f>IF(G153&lt;=1300,200,(IF(G153&lt;=1600,225,(IF(G153&lt;=2100,250,(IF(G153&lt;=2700,280,(IF(G153&lt;=3450,315,(IF(G153&lt;=4250,355,(IF(G153&lt;=5250,400,(IF(G153&lt;=6750,450,0)))))))))))))))</f>
        <v>0</v>
      </c>
      <c r="AA153" s="153">
        <f>IF(G153&lt;=2000,5000,(IF(G153&lt;=5000,8000,(IF(G153&lt;=10000,10000,(IF(G153&lt;=18000,15000,(IF(G153&lt;=40000,20000,10000)))))))))</f>
        <v>10000</v>
      </c>
      <c r="AB153" s="153">
        <f>IF(D153=950,2,(IF(D153=1150,3,(IF(D153=1550,4,(IF(D153=1750,5,(IF(D153=2050,6,(IF(D153=2900,8,(IF(D153=3600,10,1)))))))))))))</f>
        <v>5</v>
      </c>
      <c r="AC153" s="153">
        <f>IF(E153=950,2,(IF(E153=1100,2,(IF(E153=1250,3,(IF(E153=1550,4,(IF(E153=1750,5,(IF(E153=2050,6,(IF(E153=2900,8,(IF(E153=3600,10,1)))))))))))))))</f>
        <v>4</v>
      </c>
      <c r="AD153" s="153">
        <f>AC153*AB153</f>
        <v>20</v>
      </c>
      <c r="AE153" s="153">
        <v>150</v>
      </c>
      <c r="AF153" s="153">
        <f>CEILING((SQRT(G153/1000))*4*2*AE153*1.25*K153,100)</f>
        <v>9500</v>
      </c>
      <c r="AG153" s="153">
        <f>AB153*AC153</f>
        <v>20</v>
      </c>
      <c r="AH153" s="153">
        <f>AC153*AB153</f>
        <v>20</v>
      </c>
      <c r="AI153" s="153">
        <f>AC153*AB153</f>
        <v>20</v>
      </c>
      <c r="AJ153" s="153">
        <f>AC153*AB153</f>
        <v>20</v>
      </c>
      <c r="AK153" s="153"/>
      <c r="AL153" s="153"/>
      <c r="AM153" s="152">
        <f>(G153*2.2/1100)</f>
        <v>20</v>
      </c>
      <c r="AN153" s="152">
        <f>(G153*1/1100)</f>
        <v>9.0909090909090917</v>
      </c>
      <c r="AX153" s="153"/>
    </row>
    <row r="154" spans="3:50">
      <c r="C154" s="155"/>
      <c r="D154" s="5">
        <f>IF(G153&lt;=5250,Z153,Y153)</f>
        <v>560</v>
      </c>
      <c r="E154" s="5">
        <v>5</v>
      </c>
      <c r="F154" s="5">
        <v>0</v>
      </c>
      <c r="G154" s="5">
        <f>IF(I154=4,600,(IF(I154=6,800,(IF(I154=8,1000,1200)))))</f>
        <v>1200</v>
      </c>
      <c r="H154" s="5">
        <v>3</v>
      </c>
      <c r="I154" s="5">
        <v>0</v>
      </c>
      <c r="J154" s="156"/>
      <c r="K154" s="156"/>
      <c r="L154" s="157"/>
      <c r="M154" s="157"/>
      <c r="N154" s="157"/>
      <c r="O154" s="168"/>
      <c r="P154" s="168"/>
      <c r="Q154" s="158"/>
      <c r="R154" s="158"/>
      <c r="S154" s="158"/>
      <c r="T154" s="158"/>
      <c r="U154" s="153"/>
      <c r="V154" s="153"/>
      <c r="W154" s="158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  <c r="AH154" s="153"/>
      <c r="AI154" s="153"/>
      <c r="AJ154" s="153"/>
      <c r="AK154" s="153"/>
      <c r="AL154" s="153"/>
      <c r="AM154" s="152"/>
      <c r="AN154" s="152"/>
      <c r="AX154" s="153"/>
    </row>
    <row r="155" spans="3:50">
      <c r="C155" s="141"/>
      <c r="D155" s="142"/>
      <c r="E155" s="143"/>
      <c r="F155" s="143"/>
      <c r="G155" s="143"/>
      <c r="H155" s="143"/>
      <c r="I155" s="144"/>
      <c r="J155" s="12"/>
      <c r="K155" s="12"/>
      <c r="L155" s="78"/>
      <c r="M155" s="78"/>
      <c r="N155" s="78"/>
      <c r="O155" s="79"/>
      <c r="P155" s="79"/>
      <c r="Q155" s="134"/>
      <c r="R155" s="134"/>
      <c r="S155" s="134"/>
      <c r="T155" s="134"/>
      <c r="U155" s="132"/>
      <c r="V155" s="132"/>
      <c r="W155" s="134"/>
      <c r="X155" s="132"/>
      <c r="Y155" s="132"/>
      <c r="Z155" s="132"/>
      <c r="AA155" s="132"/>
      <c r="AB155" s="132"/>
      <c r="AC155" s="132"/>
      <c r="AD155" s="132"/>
      <c r="AE155" s="132"/>
      <c r="AF155" s="132"/>
      <c r="AG155" s="132"/>
      <c r="AH155" s="132"/>
      <c r="AI155" s="132"/>
      <c r="AJ155" s="132"/>
      <c r="AK155" s="132"/>
      <c r="AL155" s="132"/>
      <c r="AM155" s="133"/>
      <c r="AN155" s="133"/>
    </row>
    <row r="156" spans="3:50">
      <c r="C156" s="200" t="s">
        <v>58</v>
      </c>
      <c r="D156" s="179" t="s">
        <v>59</v>
      </c>
      <c r="E156" s="180"/>
      <c r="F156" s="180"/>
      <c r="G156" s="180"/>
      <c r="H156" s="180"/>
      <c r="I156" s="181"/>
      <c r="J156" s="12"/>
      <c r="K156" s="12"/>
      <c r="L156" s="12"/>
      <c r="M156" s="12"/>
      <c r="N156" s="12"/>
      <c r="O156" s="39"/>
      <c r="P156" s="39"/>
      <c r="AM156" s="83"/>
      <c r="AN156" s="83"/>
    </row>
    <row r="157" spans="3:50">
      <c r="C157" s="200"/>
      <c r="D157" s="202" t="s">
        <v>60</v>
      </c>
      <c r="E157" s="203"/>
      <c r="F157" s="203"/>
      <c r="G157" s="203"/>
      <c r="H157" s="203"/>
      <c r="I157" s="204"/>
      <c r="J157" s="196"/>
      <c r="K157" s="196"/>
      <c r="L157" s="196"/>
      <c r="M157" s="196"/>
      <c r="N157" s="196"/>
      <c r="O157" s="198"/>
      <c r="P157" s="198"/>
      <c r="AM157" s="83"/>
      <c r="AN157" s="83"/>
    </row>
    <row r="158" spans="3:50">
      <c r="C158" s="200"/>
      <c r="D158" s="202"/>
      <c r="E158" s="203"/>
      <c r="F158" s="203"/>
      <c r="G158" s="203"/>
      <c r="H158" s="203"/>
      <c r="I158" s="204"/>
      <c r="J158" s="197"/>
      <c r="K158" s="197"/>
      <c r="L158" s="197"/>
      <c r="M158" s="197"/>
      <c r="N158" s="197"/>
      <c r="O158" s="199"/>
      <c r="P158" s="199"/>
      <c r="AM158" s="83"/>
      <c r="AN158" s="83"/>
    </row>
    <row r="159" spans="3:50">
      <c r="C159" s="200"/>
      <c r="D159" s="202"/>
      <c r="E159" s="203"/>
      <c r="F159" s="203"/>
      <c r="G159" s="203"/>
      <c r="H159" s="203"/>
      <c r="I159" s="204"/>
      <c r="J159" s="197"/>
      <c r="K159" s="197"/>
      <c r="L159" s="197"/>
      <c r="M159" s="197"/>
      <c r="N159" s="197"/>
      <c r="O159" s="199"/>
      <c r="P159" s="199"/>
      <c r="AM159" s="83"/>
      <c r="AN159" s="83"/>
    </row>
    <row r="160" spans="3:50">
      <c r="C160" s="200"/>
      <c r="D160" s="202"/>
      <c r="E160" s="203"/>
      <c r="F160" s="203"/>
      <c r="G160" s="203"/>
      <c r="H160" s="203"/>
      <c r="I160" s="204"/>
      <c r="J160" s="197"/>
      <c r="K160" s="197"/>
      <c r="L160" s="197"/>
      <c r="M160" s="197"/>
      <c r="N160" s="197"/>
      <c r="O160" s="199"/>
      <c r="P160" s="199"/>
      <c r="AM160" s="83"/>
      <c r="AN160" s="83"/>
    </row>
    <row r="161" spans="3:50">
      <c r="C161" s="200"/>
      <c r="D161" s="202"/>
      <c r="E161" s="203"/>
      <c r="F161" s="203"/>
      <c r="G161" s="203"/>
      <c r="H161" s="203"/>
      <c r="I161" s="204"/>
      <c r="J161" s="197"/>
      <c r="K161" s="197"/>
      <c r="L161" s="197"/>
      <c r="M161" s="197"/>
      <c r="N161" s="197"/>
      <c r="O161" s="199"/>
      <c r="P161" s="199"/>
      <c r="AM161" s="83"/>
      <c r="AN161" s="83"/>
    </row>
    <row r="162" spans="3:50">
      <c r="C162" s="200"/>
      <c r="D162" s="202"/>
      <c r="E162" s="203"/>
      <c r="F162" s="203"/>
      <c r="G162" s="203"/>
      <c r="H162" s="203"/>
      <c r="I162" s="204"/>
      <c r="J162" s="197"/>
      <c r="K162" s="197"/>
      <c r="L162" s="197"/>
      <c r="M162" s="197"/>
      <c r="N162" s="197"/>
      <c r="O162" s="199"/>
      <c r="P162" s="199"/>
      <c r="AM162" s="83"/>
      <c r="AN162" s="83"/>
    </row>
    <row r="163" spans="3:50">
      <c r="C163" s="200"/>
      <c r="D163" s="202"/>
      <c r="E163" s="203"/>
      <c r="F163" s="203"/>
      <c r="G163" s="203"/>
      <c r="H163" s="203"/>
      <c r="I163" s="204"/>
      <c r="J163" s="197"/>
      <c r="K163" s="197"/>
      <c r="L163" s="197"/>
      <c r="M163" s="197"/>
      <c r="N163" s="197"/>
      <c r="O163" s="199"/>
      <c r="P163" s="199"/>
      <c r="AM163" s="83"/>
      <c r="AN163" s="83"/>
    </row>
    <row r="164" spans="3:50">
      <c r="C164" s="200"/>
      <c r="D164" s="202"/>
      <c r="E164" s="203"/>
      <c r="F164" s="203"/>
      <c r="G164" s="203"/>
      <c r="H164" s="203"/>
      <c r="I164" s="204"/>
      <c r="J164" s="197"/>
      <c r="K164" s="197"/>
      <c r="L164" s="197"/>
      <c r="M164" s="197"/>
      <c r="N164" s="197"/>
      <c r="O164" s="199"/>
      <c r="P164" s="199"/>
      <c r="AM164" s="83"/>
      <c r="AN164" s="83"/>
    </row>
    <row r="165" spans="3:50">
      <c r="C165" s="200"/>
      <c r="D165" s="202"/>
      <c r="E165" s="203"/>
      <c r="F165" s="203"/>
      <c r="G165" s="203"/>
      <c r="H165" s="203"/>
      <c r="I165" s="204"/>
      <c r="J165" s="197"/>
      <c r="K165" s="197"/>
      <c r="L165" s="197"/>
      <c r="M165" s="197"/>
      <c r="N165" s="197"/>
      <c r="O165" s="199"/>
      <c r="P165" s="199"/>
      <c r="AM165" s="83"/>
      <c r="AN165" s="83"/>
    </row>
    <row r="166" spans="3:50" ht="12.75" hidden="1" customHeight="1">
      <c r="C166" s="200"/>
      <c r="D166" s="202"/>
      <c r="E166" s="203"/>
      <c r="F166" s="203"/>
      <c r="G166" s="203"/>
      <c r="H166" s="203"/>
      <c r="I166" s="204"/>
      <c r="J166" s="197"/>
      <c r="K166" s="197"/>
      <c r="L166" s="197"/>
      <c r="M166" s="197"/>
      <c r="N166" s="197"/>
      <c r="O166" s="199"/>
      <c r="P166" s="199"/>
      <c r="AM166" s="83"/>
      <c r="AN166" s="83"/>
    </row>
    <row r="167" spans="3:50" ht="12.75" hidden="1" customHeight="1">
      <c r="C167" s="200"/>
      <c r="D167" s="202"/>
      <c r="E167" s="203"/>
      <c r="F167" s="203"/>
      <c r="G167" s="203"/>
      <c r="H167" s="203"/>
      <c r="I167" s="204"/>
      <c r="J167" s="197"/>
      <c r="K167" s="197"/>
      <c r="L167" s="197"/>
      <c r="M167" s="197"/>
      <c r="N167" s="197"/>
      <c r="O167" s="199"/>
      <c r="P167" s="199"/>
      <c r="AM167" s="83"/>
      <c r="AN167" s="83"/>
    </row>
    <row r="168" spans="3:50" ht="12.75" hidden="1" customHeight="1">
      <c r="C168" s="200"/>
      <c r="D168" s="202"/>
      <c r="E168" s="203"/>
      <c r="F168" s="203"/>
      <c r="G168" s="203"/>
      <c r="H168" s="203"/>
      <c r="I168" s="204"/>
      <c r="J168" s="197"/>
      <c r="K168" s="197"/>
      <c r="L168" s="197"/>
      <c r="M168" s="197"/>
      <c r="N168" s="197"/>
      <c r="O168" s="199"/>
      <c r="P168" s="199"/>
      <c r="AM168" s="83"/>
      <c r="AN168" s="83"/>
    </row>
    <row r="169" spans="3:50" ht="12.75" hidden="1" customHeight="1">
      <c r="C169" s="200"/>
      <c r="D169" s="202"/>
      <c r="E169" s="203"/>
      <c r="F169" s="203"/>
      <c r="G169" s="203"/>
      <c r="H169" s="203"/>
      <c r="I169" s="204"/>
      <c r="J169" s="197"/>
      <c r="K169" s="197"/>
      <c r="L169" s="197"/>
      <c r="M169" s="197"/>
      <c r="N169" s="197"/>
      <c r="O169" s="199"/>
      <c r="P169" s="199"/>
      <c r="AM169" s="83"/>
      <c r="AN169" s="83"/>
    </row>
    <row r="170" spans="3:50" ht="12.75" hidden="1" customHeight="1">
      <c r="C170" s="200"/>
      <c r="D170" s="202"/>
      <c r="E170" s="203"/>
      <c r="F170" s="203"/>
      <c r="G170" s="203"/>
      <c r="H170" s="203"/>
      <c r="I170" s="204"/>
      <c r="J170" s="197"/>
      <c r="K170" s="197"/>
      <c r="L170" s="197"/>
      <c r="M170" s="197"/>
      <c r="N170" s="197"/>
      <c r="O170" s="199"/>
      <c r="P170" s="199"/>
      <c r="AM170" s="83"/>
      <c r="AN170" s="83"/>
    </row>
    <row r="171" spans="3:50" ht="12.75" hidden="1" customHeight="1">
      <c r="C171" s="201"/>
      <c r="D171" s="205"/>
      <c r="E171" s="206"/>
      <c r="F171" s="206"/>
      <c r="G171" s="206"/>
      <c r="H171" s="206"/>
      <c r="I171" s="207"/>
      <c r="J171" s="197"/>
      <c r="K171" s="197"/>
      <c r="L171" s="197"/>
      <c r="M171" s="197"/>
      <c r="N171" s="197"/>
      <c r="O171" s="199"/>
      <c r="P171" s="199"/>
      <c r="AM171" s="83"/>
      <c r="AN171" s="83"/>
    </row>
    <row r="172" spans="3:50" ht="12.75" customHeight="1">
      <c r="C172" s="140"/>
      <c r="D172" s="185" t="s">
        <v>24</v>
      </c>
      <c r="E172" s="186"/>
      <c r="F172" s="186"/>
      <c r="G172" s="186"/>
      <c r="H172" s="186"/>
      <c r="I172" s="187"/>
      <c r="J172" s="138"/>
      <c r="K172" s="138"/>
      <c r="L172" s="138"/>
      <c r="M172" s="138"/>
      <c r="N172" s="138"/>
      <c r="O172" s="139"/>
      <c r="P172" s="139"/>
      <c r="AM172" s="83"/>
      <c r="AN172" s="83"/>
    </row>
    <row r="173" spans="3:50" ht="25.5">
      <c r="C173" s="100"/>
      <c r="D173" s="5" t="s">
        <v>25</v>
      </c>
      <c r="E173" s="5" t="s">
        <v>26</v>
      </c>
      <c r="F173" s="5" t="s">
        <v>27</v>
      </c>
      <c r="G173" s="5" t="s">
        <v>28</v>
      </c>
      <c r="H173" s="5" t="s">
        <v>29</v>
      </c>
      <c r="I173" s="5" t="s">
        <v>30</v>
      </c>
      <c r="J173" s="4"/>
      <c r="K173" s="4"/>
      <c r="L173" s="4"/>
      <c r="M173" s="4"/>
      <c r="N173" s="4"/>
      <c r="O173" s="40"/>
      <c r="P173" s="40"/>
      <c r="AM173" s="83"/>
      <c r="AN173" s="83"/>
    </row>
    <row r="174" spans="3:50">
      <c r="C174" s="154" t="s">
        <v>61</v>
      </c>
      <c r="D174" s="5">
        <f>IF(G174&lt;=2000,950,(IF(G174&lt;=3000,1150,(IF(G174&lt;=8000,1550,(IF(G174&lt;=10000,1750,(IF(G174&lt;=18000,2050,(IF(G174&lt;=32000,2900,(IF(G174&lt;=40000,3600,4000)))))))))))))</f>
        <v>950</v>
      </c>
      <c r="E174" s="5">
        <f>IF(G174&lt;=2000,950,(IF(G174&lt;=4000,1100,(IF(G174&lt;=6000,1250,(IF(G174&lt;=10000,1550,(IF(G174&lt;=15000,1750,(IF(G174&lt;=24000,2050,(IF(G174&lt;=40000,2900,3600)))))))))))))</f>
        <v>950</v>
      </c>
      <c r="F174" s="5">
        <f>H174+I174+G175</f>
        <v>2100</v>
      </c>
      <c r="G174" s="6">
        <v>1750</v>
      </c>
      <c r="H174" s="5">
        <f>IF(D175&lt;=315,1600,(IF(D175=355,1650,(IF(D175=400,1650,(IF(D175=450,1700,(IF(D175=500,1700,(IF(D175=560,1800,(IF(D175=630,2000,(IF(D175=710,2200,2500)))))))))))))))</f>
        <v>1600</v>
      </c>
      <c r="I174" s="5">
        <f>IF(H175=2,1500,(IF(H175=1,500,0)))</f>
        <v>500</v>
      </c>
      <c r="J174" s="156" t="s">
        <v>32</v>
      </c>
      <c r="K174" s="156">
        <v>1</v>
      </c>
      <c r="L174" s="157">
        <f>Q174*0.9</f>
        <v>91575</v>
      </c>
      <c r="M174" s="157">
        <f>L174*K174</f>
        <v>91575</v>
      </c>
      <c r="N174" s="157">
        <f>Q174*0.1</f>
        <v>10175</v>
      </c>
      <c r="O174" s="168">
        <f>N174*K174</f>
        <v>10175</v>
      </c>
      <c r="P174" s="168">
        <v>101750</v>
      </c>
      <c r="Q174" s="158">
        <f>CEILING((S174+T174+U174+V174+W174),250)</f>
        <v>101750</v>
      </c>
      <c r="R174" s="158">
        <v>450</v>
      </c>
      <c r="S174" s="158">
        <f>(D174*E174*3*10.76+D174*F174*2*10.76+E174*F174*2*10.76)*R174/(1000*1000)</f>
        <v>51748.875</v>
      </c>
      <c r="T174" s="158">
        <f>F175*4*1050</f>
        <v>0</v>
      </c>
      <c r="U174" s="153">
        <f>IF(G174&lt;=2000,5000,(IF(G174&lt;=5000,8000,(IF(G174&lt;=10000,10000,(IF(G174&lt;=18000,15000,(IF(G174&lt;=40000,20000,10000)))))))))</f>
        <v>5000</v>
      </c>
      <c r="V174" s="153">
        <f>IF(X174=200,17150,(IF(X174=225,18150,(IF(X174=250,18900,(IF(X174=280,19150,(IF(X174=315,19650,(IF(X174=355,21900,(IF(X174=400,24400,0)))))))))))))+IF(X174=450,31000,(IF(X174=500,37450,(IF(X174=560,45650,(IF(X174=630,58900,(IF(X174=710,77950,0)))))))))+IF(X174=800,119650,(IF(X174=900,153300,(IF(X174=1000,178900,(IF(X174=1120,286500,(IF(X174=1250,394500,(IF(X174=1450,461500,0)))))))))))</f>
        <v>18900</v>
      </c>
      <c r="W174" s="158">
        <f>IF(E175=0.5,16600,(IF(E175=1,19050,(IF(E175=1.5,21750,(IF(E175=2,23600,(IF(E175=3,30000,(IF(E175=5,38000,0)))))))))))*1.2+IF(E175=7.5,52300,(IF(E175=10,59600,0)))*1.2+IF(E175=12.5,100350,(IF(E175=15,106000,(IF(E175=20,129150,(IF(E175=25,146050,(IF(E175=30,173600,(IF(E175=40,233900,(IF(E175=50,304650)))))))))))))*1.2</f>
        <v>26100</v>
      </c>
      <c r="X174" s="153">
        <f>IF(G174&lt;=5250,Z174,Y174)</f>
        <v>250</v>
      </c>
      <c r="Y174" s="153">
        <f>IF(G174&lt;=6750,450,(IF(G174&lt;=8500,500,(IF(G174&lt;=10750,560,(IF(G174&lt;=13500,630,(IF(G174&lt;=17000,710,(IF(G174&lt;=21500,800,(IF(G174&lt;=27000,900,(IF(G174&lt;=34000,1000,0)))))))))))))))</f>
        <v>450</v>
      </c>
      <c r="Z174" s="153">
        <f>IF(G174&lt;=1300,200,(IF(G174&lt;=1600,225,(IF(G174&lt;=2100,250,(IF(G174&lt;=2700,280,(IF(G174&lt;=3450,315,(IF(G174&lt;=4250,355,(IF(G174&lt;=5250,400,(IF(G174&lt;=6750,450,0)))))))))))))))</f>
        <v>250</v>
      </c>
      <c r="AA174" s="153">
        <f>IF(G174&lt;=2000,5000,(IF(G174&lt;=5000,8000,(IF(G174&lt;=10000,10000,(IF(G174&lt;=18000,15000,(IF(G174&lt;=40000,20000,10000)))))))))</f>
        <v>5000</v>
      </c>
      <c r="AB174" s="153">
        <f>IF(D174=950,2,(IF(D174=1150,3,(IF(D174=1550,4,(IF(D174=1750,5,(IF(D174=2050,6,(IF(D174=2900,8,(IF(D174=3600,10,1)))))))))))))</f>
        <v>2</v>
      </c>
      <c r="AC174" s="153">
        <f>IF(E174=950,2,(IF(E174=1100,2,(IF(E174=1250,3,(IF(E174=1550,4,(IF(E174=1750,5,(IF(E174=2050,6,(IF(E174=2900,8,(IF(E174=3600,10,1)))))))))))))))</f>
        <v>2</v>
      </c>
      <c r="AD174" s="153">
        <f>AC174*AB174</f>
        <v>4</v>
      </c>
      <c r="AE174" s="153">
        <v>150</v>
      </c>
      <c r="AF174" s="153">
        <f>CEILING((SQRT(G174/1000))*4*2*AE174*1.25*K174,100)</f>
        <v>2000</v>
      </c>
      <c r="AG174" s="153"/>
      <c r="AH174" s="153"/>
      <c r="AI174" s="153"/>
      <c r="AJ174" s="153"/>
      <c r="AK174" s="153"/>
      <c r="AL174" s="153">
        <f>AB174*AC174</f>
        <v>4</v>
      </c>
      <c r="AM174" s="152">
        <f>(G174*2/1300)</f>
        <v>2.6923076923076925</v>
      </c>
      <c r="AN174" s="152">
        <f>(G174*1/1100)</f>
        <v>1.5909090909090908</v>
      </c>
      <c r="AX174" s="153"/>
    </row>
    <row r="175" spans="3:50">
      <c r="C175" s="155"/>
      <c r="D175" s="5">
        <f>IF(G174&lt;=5250,Z174,Y174)</f>
        <v>250</v>
      </c>
      <c r="E175" s="5">
        <v>1.5</v>
      </c>
      <c r="F175" s="5">
        <v>0</v>
      </c>
      <c r="G175" s="5">
        <v>0</v>
      </c>
      <c r="H175" s="5">
        <v>1</v>
      </c>
      <c r="I175" s="5">
        <v>0</v>
      </c>
      <c r="J175" s="156"/>
      <c r="K175" s="156"/>
      <c r="L175" s="157"/>
      <c r="M175" s="157"/>
      <c r="N175" s="157"/>
      <c r="O175" s="168"/>
      <c r="P175" s="168"/>
      <c r="Q175" s="158"/>
      <c r="R175" s="158"/>
      <c r="S175" s="158"/>
      <c r="T175" s="158"/>
      <c r="U175" s="153"/>
      <c r="V175" s="153"/>
      <c r="W175" s="158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  <c r="AH175" s="153"/>
      <c r="AI175" s="153"/>
      <c r="AJ175" s="153"/>
      <c r="AK175" s="153"/>
      <c r="AL175" s="153"/>
      <c r="AM175" s="152"/>
      <c r="AN175" s="152"/>
      <c r="AX175" s="153"/>
    </row>
    <row r="176" spans="3:50">
      <c r="C176" s="154" t="s">
        <v>62</v>
      </c>
      <c r="D176" s="5">
        <f>IF(G176&lt;=2000,950,(IF(G176&lt;=3000,1150,(IF(G176&lt;=8000,1550,(IF(G176&lt;=10000,1750,(IF(G176&lt;=18000,2050,(IF(G176&lt;=32000,2900,(IF(G176&lt;=40000,3600,4000)))))))))))))</f>
        <v>950</v>
      </c>
      <c r="E176" s="5">
        <f>IF(G176&lt;=2000,950,(IF(G176&lt;=4000,1100,(IF(G176&lt;=6000,1250,(IF(G176&lt;=10000,1550,(IF(G176&lt;=15000,1750,(IF(G176&lt;=24000,2050,(IF(G176&lt;=40000,2900,3600)))))))))))))</f>
        <v>950</v>
      </c>
      <c r="F176" s="5">
        <f>H176+I176+G177</f>
        <v>2100</v>
      </c>
      <c r="G176" s="6">
        <v>1825</v>
      </c>
      <c r="H176" s="5">
        <f>IF(D177&lt;=315,1600,(IF(D177=355,1650,(IF(D177=400,1650,(IF(D177=450,1700,(IF(D177=500,1700,(IF(D177=560,1800,(IF(D177=630,2000,(IF(D177=710,2200,2500)))))))))))))))</f>
        <v>1600</v>
      </c>
      <c r="I176" s="5">
        <f>IF(H177=2,1500,(IF(H177=1,500,0)))</f>
        <v>500</v>
      </c>
      <c r="J176" s="156" t="s">
        <v>32</v>
      </c>
      <c r="K176" s="156">
        <v>1</v>
      </c>
      <c r="L176" s="157">
        <f>Q176*0.9</f>
        <v>91575</v>
      </c>
      <c r="M176" s="157">
        <f>L176*K176</f>
        <v>91575</v>
      </c>
      <c r="N176" s="157">
        <f>Q176*0.1</f>
        <v>10175</v>
      </c>
      <c r="O176" s="168">
        <f>N176*K176</f>
        <v>10175</v>
      </c>
      <c r="P176" s="168">
        <v>101750</v>
      </c>
      <c r="Q176" s="158">
        <f>CEILING((S176+T176+U176+V176+W176),250)</f>
        <v>101750</v>
      </c>
      <c r="R176" s="158">
        <v>450</v>
      </c>
      <c r="S176" s="158">
        <f>(D176*E176*3*10.76+D176*F176*2*10.76+E176*F176*2*10.76)*R176/(1000*1000)</f>
        <v>51748.875</v>
      </c>
      <c r="T176" s="158">
        <f>F177*4*1050</f>
        <v>0</v>
      </c>
      <c r="U176" s="153">
        <f>IF(G176&lt;=2000,5000,(IF(G176&lt;=5000,8000,(IF(G176&lt;=10000,10000,(IF(G176&lt;=18000,15000,(IF(G176&lt;=40000,20000,10000)))))))))</f>
        <v>5000</v>
      </c>
      <c r="V176" s="153">
        <f>IF(X176=200,17150,(IF(X176=225,18150,(IF(X176=250,18900,(IF(X176=280,19150,(IF(X176=315,19650,(IF(X176=355,21900,(IF(X176=400,24400,0)))))))))))))+IF(X176=450,31000,(IF(X176=500,37450,(IF(X176=560,45650,(IF(X176=630,58900,(IF(X176=710,77950,0)))))))))+IF(X176=800,119650,(IF(X176=900,153300,(IF(X176=1000,178900,(IF(X176=1120,286500,(IF(X176=1250,394500,(IF(X176=1450,461500,0)))))))))))</f>
        <v>18900</v>
      </c>
      <c r="W176" s="158">
        <f>IF(E177=0.5,16600,(IF(E177=1,19050,(IF(E177=1.5,21750,(IF(E177=2,23600,(IF(E177=3,30000,(IF(E177=5,38000,0)))))))))))*1.2+IF(E177=7.5,52300,(IF(E177=10,59600,0)))*1.2+IF(E177=12.5,100350,(IF(E177=15,106000,(IF(E177=20,129150,(IF(E177=25,146050,(IF(E177=30,173600,(IF(E177=40,233900,(IF(E177=50,304650)))))))))))))*1.2</f>
        <v>26100</v>
      </c>
      <c r="X176" s="153">
        <f>IF(G176&lt;=5250,Z176,Y176)</f>
        <v>250</v>
      </c>
      <c r="Y176" s="153">
        <f>IF(G176&lt;=6750,450,(IF(G176&lt;=8500,500,(IF(G176&lt;=10750,560,(IF(G176&lt;=13500,630,(IF(G176&lt;=17000,710,(IF(G176&lt;=21500,800,(IF(G176&lt;=27000,900,(IF(G176&lt;=34000,1000,0)))))))))))))))</f>
        <v>450</v>
      </c>
      <c r="Z176" s="153">
        <f>IF(G176&lt;=1300,200,(IF(G176&lt;=1600,225,(IF(G176&lt;=2100,250,(IF(G176&lt;=2700,280,(IF(G176&lt;=3450,315,(IF(G176&lt;=4250,355,(IF(G176&lt;=5250,400,(IF(G176&lt;=6750,450,0)))))))))))))))</f>
        <v>250</v>
      </c>
      <c r="AA176" s="153">
        <f>IF(G176&lt;=2000,5000,(IF(G176&lt;=5000,8000,(IF(G176&lt;=10000,10000,(IF(G176&lt;=18000,15000,(IF(G176&lt;=40000,20000,10000)))))))))</f>
        <v>5000</v>
      </c>
      <c r="AB176" s="153">
        <f>IF(D176=950,2,(IF(D176=1150,3,(IF(D176=1550,4,(IF(D176=1750,5,(IF(D176=2050,6,(IF(D176=2900,8,(IF(D176=3600,10,1)))))))))))))</f>
        <v>2</v>
      </c>
      <c r="AC176" s="153">
        <f>IF(E176=950,2,(IF(E176=1100,2,(IF(E176=1250,3,(IF(E176=1550,4,(IF(E176=1750,5,(IF(E176=2050,6,(IF(E176=2900,8,(IF(E176=3600,10,1)))))))))))))))</f>
        <v>2</v>
      </c>
      <c r="AD176" s="153">
        <f>AC176*AB176</f>
        <v>4</v>
      </c>
      <c r="AE176" s="153">
        <v>150</v>
      </c>
      <c r="AF176" s="153">
        <f>CEILING((SQRT(G176/1000))*4*2*AE176*1.25*K176,100)</f>
        <v>2100</v>
      </c>
      <c r="AG176" s="153"/>
      <c r="AH176" s="153"/>
      <c r="AI176" s="153"/>
      <c r="AJ176" s="153"/>
      <c r="AK176" s="153"/>
      <c r="AL176" s="153">
        <f>AB176*AC176</f>
        <v>4</v>
      </c>
      <c r="AM176" s="152">
        <f>(G176*2/1300)</f>
        <v>2.8076923076923075</v>
      </c>
      <c r="AN176" s="152">
        <f>(G176*1/1100)</f>
        <v>1.6590909090909092</v>
      </c>
    </row>
    <row r="177" spans="3:50">
      <c r="C177" s="155"/>
      <c r="D177" s="5">
        <f>IF(G176&lt;=5250,Z176,Y176)</f>
        <v>250</v>
      </c>
      <c r="E177" s="5">
        <v>1.5</v>
      </c>
      <c r="F177" s="5">
        <v>0</v>
      </c>
      <c r="G177" s="5">
        <v>0</v>
      </c>
      <c r="H177" s="5">
        <v>1</v>
      </c>
      <c r="I177" s="5">
        <v>0</v>
      </c>
      <c r="J177" s="156"/>
      <c r="K177" s="156"/>
      <c r="L177" s="157"/>
      <c r="M177" s="157"/>
      <c r="N177" s="157"/>
      <c r="O177" s="168"/>
      <c r="P177" s="168"/>
      <c r="Q177" s="158"/>
      <c r="R177" s="158"/>
      <c r="S177" s="158"/>
      <c r="T177" s="158"/>
      <c r="U177" s="153"/>
      <c r="V177" s="153"/>
      <c r="W177" s="158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  <c r="AH177" s="153"/>
      <c r="AI177" s="153"/>
      <c r="AJ177" s="153"/>
      <c r="AK177" s="153"/>
      <c r="AL177" s="153"/>
      <c r="AM177" s="152"/>
      <c r="AN177" s="152"/>
    </row>
    <row r="178" spans="3:50" ht="26.25" thickBot="1">
      <c r="C178" s="41"/>
      <c r="D178" s="42" t="s">
        <v>35</v>
      </c>
      <c r="E178" s="42" t="s">
        <v>1</v>
      </c>
      <c r="F178" s="42" t="s">
        <v>36</v>
      </c>
      <c r="G178" s="42" t="s">
        <v>37</v>
      </c>
      <c r="H178" s="42" t="s">
        <v>38</v>
      </c>
      <c r="I178" s="42" t="s">
        <v>39</v>
      </c>
      <c r="J178" s="8"/>
      <c r="K178" s="8"/>
      <c r="L178" s="43"/>
      <c r="M178" s="43"/>
      <c r="N178" s="43"/>
      <c r="O178" s="44"/>
      <c r="P178" s="44"/>
      <c r="AM178" s="83"/>
      <c r="AN178" s="83"/>
    </row>
    <row r="179" spans="3:50">
      <c r="C179" s="154" t="s">
        <v>63</v>
      </c>
      <c r="D179" s="5">
        <f>IF(G179&lt;=2000,950,(IF(G179&lt;=3000,1150,(IF(G179&lt;=8000,1550,(IF(G179&lt;=10000,1750,(IF(G179&lt;=18000,2050,(IF(G179&lt;=32000,2900,(IF(G179&lt;=40000,3600,4000)))))))))))))</f>
        <v>1750</v>
      </c>
      <c r="E179" s="5">
        <f>IF(G179&lt;=2000,950,(IF(G179&lt;=4000,1100,(IF(G179&lt;=6000,1250,(IF(G179&lt;=10000,1550,(IF(G179&lt;=15000,1750,(IF(G179&lt;=24000,2050,(IF(G179&lt;=40000,2900,3600)))))))))))))</f>
        <v>1550</v>
      </c>
      <c r="F179" s="5">
        <f>H179+I179+G180</f>
        <v>2300</v>
      </c>
      <c r="G179" s="6">
        <v>8575</v>
      </c>
      <c r="H179" s="5">
        <f>IF(D180&lt;=315,1600,(IF(D180=355,1650,(IF(D180=400,1650,(IF(D180=450,1700,(IF(D180=500,1700,(IF(D180=560,1800,(IF(D180=630,2000,(IF(D180=710,2200,2500)))))))))))))))</f>
        <v>1800</v>
      </c>
      <c r="I179" s="5">
        <f>IF(H180=2,1500,(IF(H180=1,500,0)))</f>
        <v>500</v>
      </c>
      <c r="J179" s="156" t="s">
        <v>32</v>
      </c>
      <c r="K179" s="156">
        <v>1</v>
      </c>
      <c r="L179" s="157">
        <f>Q179*0.9</f>
        <v>192825</v>
      </c>
      <c r="M179" s="157">
        <f>L179*K179</f>
        <v>192825</v>
      </c>
      <c r="N179" s="157">
        <f>Q179*0.1</f>
        <v>21425</v>
      </c>
      <c r="O179" s="168">
        <f>N179*K179</f>
        <v>21425</v>
      </c>
      <c r="P179" s="168">
        <v>214250</v>
      </c>
      <c r="Q179" s="158">
        <f>CEILING((S179+T179+U179+V179+W179),250)</f>
        <v>214250</v>
      </c>
      <c r="R179" s="158">
        <v>450</v>
      </c>
      <c r="S179" s="158">
        <f>(D179*E179*3*10.76+D179*F179*2*10.76+E179*F179*2*10.76)*R179/(1000*1000)</f>
        <v>112903.33500000001</v>
      </c>
      <c r="T179" s="158">
        <f>F180*4*1050</f>
        <v>0</v>
      </c>
      <c r="U179" s="153">
        <f>IF(G179&lt;=2000,5000,(IF(G179&lt;=5000,8000,(IF(G179&lt;=10000,10000,(IF(G179&lt;=18000,15000,(IF(G179&lt;=40000,20000,10000)))))))))</f>
        <v>10000</v>
      </c>
      <c r="V179" s="153">
        <f>IF(X179=200,17150,(IF(X179=225,18150,(IF(X179=250,18900,(IF(X179=280,19150,(IF(X179=315,19650,(IF(X179=355,21900,(IF(X179=400,24400,0)))))))))))))+IF(X179=450,31000,(IF(X179=500,37450,(IF(X179=560,45650,(IF(X179=630,58900,(IF(X179=710,77950,0)))))))))+IF(X179=800,119650,(IF(X179=900,153300,(IF(X179=1000,178900,(IF(X179=1120,286500,(IF(X179=1250,394500,(IF(X179=1450,461500,0)))))))))))</f>
        <v>45650</v>
      </c>
      <c r="W179" s="158">
        <f>IF(E180=0.5,16600,(IF(E180=1,19050,(IF(E180=1.5,21750,(IF(E180=2,23600,(IF(E180=3,30000,(IF(E180=5,38000,0)))))))))))*1.2+IF(E180=7.5,52300,(IF(E180=10,59600,0)))*1.2+IF(E180=12.5,100350,(IF(E180=15,106000,(IF(E180=20,129150,(IF(E180=25,146050,(IF(E180=30,173600,(IF(E180=40,233900,(IF(E180=50,304650)))))))))))))*1.2</f>
        <v>45600</v>
      </c>
      <c r="X179" s="153">
        <f>IF(G179&lt;=5250,Z179,Y179)</f>
        <v>560</v>
      </c>
      <c r="Y179" s="153">
        <f>IF(G179&lt;=6750,450,(IF(G179&lt;=8500,500,(IF(G179&lt;=10750,560,(IF(G179&lt;=13500,630,(IF(G179&lt;=17000,710,(IF(G179&lt;=21500,800,(IF(G179&lt;=27000,900,(IF(G179&lt;=34000,1000,0)))))))))))))))</f>
        <v>560</v>
      </c>
      <c r="Z179" s="153">
        <f>IF(G179&lt;=1300,200,(IF(G179&lt;=1600,225,(IF(G179&lt;=2100,250,(IF(G179&lt;=2700,280,(IF(G179&lt;=3450,315,(IF(G179&lt;=4250,355,(IF(G179&lt;=5250,400,(IF(G179&lt;=6750,450,0)))))))))))))))</f>
        <v>0</v>
      </c>
      <c r="AA179" s="153">
        <f>IF(G179&lt;=2000,5000,(IF(G179&lt;=5000,8000,(IF(G179&lt;=10000,10000,(IF(G179&lt;=18000,15000,(IF(G179&lt;=40000,20000,10000)))))))))</f>
        <v>10000</v>
      </c>
      <c r="AB179" s="153">
        <f>IF(D179=950,2,(IF(D179=1150,3,(IF(D179=1550,4,(IF(D179=1750,5,(IF(D179=2050,6,(IF(D179=2900,8,(IF(D179=3600,10,1)))))))))))))</f>
        <v>5</v>
      </c>
      <c r="AC179" s="153">
        <f>IF(E179=950,2,(IF(E179=1100,2,(IF(E179=1250,3,(IF(E179=1550,4,(IF(E179=1750,5,(IF(E179=2050,6,(IF(E179=2900,8,(IF(E179=3600,10,1)))))))))))))))</f>
        <v>4</v>
      </c>
      <c r="AD179" s="153">
        <f>AC179*AB179</f>
        <v>20</v>
      </c>
      <c r="AE179" s="153">
        <v>150</v>
      </c>
      <c r="AF179" s="153">
        <f>CEILING((SQRT(G179/1000))*4*2*AE179*1.25*K179,100)</f>
        <v>4400</v>
      </c>
      <c r="AG179" s="153"/>
      <c r="AH179" s="153"/>
      <c r="AI179" s="153"/>
      <c r="AJ179" s="153"/>
      <c r="AK179" s="153"/>
      <c r="AL179" s="153">
        <f>AB179*AC179</f>
        <v>20</v>
      </c>
      <c r="AM179" s="152">
        <f>(G179*2/1300)</f>
        <v>13.192307692307692</v>
      </c>
      <c r="AN179" s="152">
        <f>(G179*1/1100)</f>
        <v>7.7954545454545459</v>
      </c>
      <c r="AX179" s="153"/>
    </row>
    <row r="180" spans="3:50">
      <c r="C180" s="155"/>
      <c r="D180" s="5">
        <f>IF(G179&lt;=5250,Z179,Y179)</f>
        <v>560</v>
      </c>
      <c r="E180" s="5">
        <v>5</v>
      </c>
      <c r="F180" s="5">
        <v>0</v>
      </c>
      <c r="G180" s="5">
        <v>0</v>
      </c>
      <c r="H180" s="5">
        <v>1</v>
      </c>
      <c r="I180" s="5">
        <v>0</v>
      </c>
      <c r="J180" s="156"/>
      <c r="K180" s="156"/>
      <c r="L180" s="157"/>
      <c r="M180" s="157"/>
      <c r="N180" s="157"/>
      <c r="O180" s="168"/>
      <c r="P180" s="168"/>
      <c r="Q180" s="158"/>
      <c r="R180" s="158"/>
      <c r="S180" s="158"/>
      <c r="T180" s="158"/>
      <c r="U180" s="153"/>
      <c r="V180" s="153"/>
      <c r="W180" s="158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  <c r="AH180" s="153"/>
      <c r="AI180" s="153"/>
      <c r="AJ180" s="153"/>
      <c r="AK180" s="153"/>
      <c r="AL180" s="153"/>
      <c r="AM180" s="152"/>
      <c r="AN180" s="152"/>
      <c r="AX180" s="153"/>
    </row>
    <row r="181" spans="3:50">
      <c r="C181" s="154" t="s">
        <v>64</v>
      </c>
      <c r="D181" s="5">
        <f>IF(G181&lt;=2000,950,(IF(G181&lt;=3000,1150,(IF(G181&lt;=8000,1550,(IF(G181&lt;=10000,1750,(IF(G181&lt;=18000,2050,(IF(G181&lt;=32000,2900,(IF(G181&lt;=40000,3600,4000)))))))))))))</f>
        <v>1550</v>
      </c>
      <c r="E181" s="5">
        <f>IF(G181&lt;=2000,950,(IF(G181&lt;=4000,1100,(IF(G181&lt;=6000,1250,(IF(G181&lt;=10000,1550,(IF(G181&lt;=15000,1750,(IF(G181&lt;=24000,2050,(IF(G181&lt;=40000,2900,3600)))))))))))))</f>
        <v>1100</v>
      </c>
      <c r="F181" s="5">
        <f>H181+I181+G182</f>
        <v>2150</v>
      </c>
      <c r="G181" s="6">
        <v>3700</v>
      </c>
      <c r="H181" s="5">
        <f>IF(D182&lt;=315,1600,(IF(D182=355,1650,(IF(D182=400,1650,(IF(D182=450,1700,(IF(D182=500,1700,(IF(D182=560,1800,(IF(D182=630,2000,(IF(D182=710,2200,2500)))))))))))))))</f>
        <v>1650</v>
      </c>
      <c r="I181" s="5">
        <f>IF(H182=2,1500,(IF(H182=1,500,0)))</f>
        <v>500</v>
      </c>
      <c r="J181" s="156" t="s">
        <v>32</v>
      </c>
      <c r="K181" s="156">
        <v>1</v>
      </c>
      <c r="L181" s="157">
        <f>Q181*0.9</f>
        <v>131400</v>
      </c>
      <c r="M181" s="157">
        <f>L181*K181</f>
        <v>131400</v>
      </c>
      <c r="N181" s="157">
        <f>Q181*0.1</f>
        <v>14600</v>
      </c>
      <c r="O181" s="168">
        <f>N181*K181</f>
        <v>14600</v>
      </c>
      <c r="P181" s="168">
        <v>146000</v>
      </c>
      <c r="Q181" s="158">
        <f>CEILING((S181+T181+U181+V181+W181),250)</f>
        <v>146000</v>
      </c>
      <c r="R181" s="158">
        <v>450</v>
      </c>
      <c r="S181" s="158">
        <f>(D181*E181*3*10.76+D181*F181*2*10.76+E181*F181*2*10.76)*R181/(1000*1000)</f>
        <v>79941.42</v>
      </c>
      <c r="T181" s="158">
        <f>F182*4*1050</f>
        <v>0</v>
      </c>
      <c r="U181" s="153">
        <f>IF(G181&lt;=2000,5000,(IF(G181&lt;=5000,8000,(IF(G181&lt;=10000,10000,(IF(G181&lt;=18000,15000,(IF(G181&lt;=40000,20000,10000)))))))))</f>
        <v>8000</v>
      </c>
      <c r="V181" s="153">
        <f>IF(X181=200,17150,(IF(X181=225,18150,(IF(X181=250,18900,(IF(X181=280,19150,(IF(X181=315,19650,(IF(X181=355,21900,(IF(X181=400,24400,0)))))))))))))+IF(X181=450,31000,(IF(X181=500,37450,(IF(X181=560,45650,(IF(X181=630,58900,(IF(X181=710,77950,0)))))))))+IF(X181=800,119650,(IF(X181=900,153300,(IF(X181=1000,178900,(IF(X181=1120,286500,(IF(X181=1250,394500,(IF(X181=1450,461500,0)))))))))))</f>
        <v>21900</v>
      </c>
      <c r="W181" s="158">
        <f>IF(E182=0.5,16600,(IF(E182=1,19050,(IF(E182=1.5,21750,(IF(E182=2,23600,(IF(E182=3,30000,(IF(E182=5,38000,0)))))))))))*1.2+IF(E182=7.5,52300,(IF(E182=10,59600,0)))*1.2+IF(E182=12.5,100350,(IF(E182=15,106000,(IF(E182=20,129150,(IF(E182=25,146050,(IF(E182=30,173600,(IF(E182=40,233900,(IF(E182=50,304650)))))))))))))*1.2</f>
        <v>36000</v>
      </c>
      <c r="X181" s="153">
        <f>IF(G181&lt;=5250,Z181,Y181)</f>
        <v>355</v>
      </c>
      <c r="Y181" s="153">
        <f>IF(G181&lt;=6750,450,(IF(G181&lt;=8500,500,(IF(G181&lt;=10750,560,(IF(G181&lt;=13500,630,(IF(G181&lt;=17000,710,(IF(G181&lt;=21500,800,(IF(G181&lt;=27000,900,(IF(G181&lt;=34000,1000,0)))))))))))))))</f>
        <v>450</v>
      </c>
      <c r="Z181" s="153">
        <f>IF(G181&lt;=1300,200,(IF(G181&lt;=1600,225,(IF(G181&lt;=2100,250,(IF(G181&lt;=2700,280,(IF(G181&lt;=3450,315,(IF(G181&lt;=4250,355,(IF(G181&lt;=5250,400,(IF(G181&lt;=6750,450,0)))))))))))))))</f>
        <v>355</v>
      </c>
      <c r="AA181" s="153">
        <f>IF(G181&lt;=2000,5000,(IF(G181&lt;=5000,8000,(IF(G181&lt;=10000,10000,(IF(G181&lt;=18000,15000,(IF(G181&lt;=40000,20000,10000)))))))))</f>
        <v>8000</v>
      </c>
      <c r="AB181" s="153">
        <f>IF(D181=950,2,(IF(D181=1150,3,(IF(D181=1550,4,(IF(D181=1750,5,(IF(D181=2050,6,(IF(D181=2900,8,(IF(D181=3600,10,1)))))))))))))</f>
        <v>4</v>
      </c>
      <c r="AC181" s="153">
        <f>IF(E181=950,2,(IF(E181=1100,2,(IF(E181=1250,3,(IF(E181=1550,4,(IF(E181=1750,5,(IF(E181=2050,6,(IF(E181=2900,8,(IF(E181=3600,10,1)))))))))))))))</f>
        <v>2</v>
      </c>
      <c r="AD181" s="153">
        <f>AC181*AB181</f>
        <v>8</v>
      </c>
      <c r="AE181" s="153">
        <v>150</v>
      </c>
      <c r="AF181" s="153">
        <f>CEILING((SQRT(G181/1000))*4*2*AE181*1.25*K181,100)</f>
        <v>2900</v>
      </c>
      <c r="AG181" s="153"/>
      <c r="AH181" s="153"/>
      <c r="AI181" s="153"/>
      <c r="AJ181" s="153"/>
      <c r="AK181" s="153"/>
      <c r="AL181" s="153">
        <f>AB181*AC181</f>
        <v>8</v>
      </c>
      <c r="AM181" s="152">
        <f>(G181*2/1300)</f>
        <v>5.6923076923076925</v>
      </c>
      <c r="AN181" s="152">
        <f>(G181*1/1100)</f>
        <v>3.3636363636363638</v>
      </c>
    </row>
    <row r="182" spans="3:50">
      <c r="C182" s="155"/>
      <c r="D182" s="5">
        <f>IF(G181&lt;=5250,Z181,Y181)</f>
        <v>355</v>
      </c>
      <c r="E182" s="5">
        <v>3</v>
      </c>
      <c r="F182" s="5">
        <v>0</v>
      </c>
      <c r="G182" s="5">
        <v>0</v>
      </c>
      <c r="H182" s="5">
        <v>1</v>
      </c>
      <c r="I182" s="5">
        <v>0</v>
      </c>
      <c r="J182" s="156"/>
      <c r="K182" s="156"/>
      <c r="L182" s="157"/>
      <c r="M182" s="157"/>
      <c r="N182" s="157"/>
      <c r="O182" s="168"/>
      <c r="P182" s="168"/>
      <c r="Q182" s="158"/>
      <c r="R182" s="158"/>
      <c r="S182" s="158"/>
      <c r="T182" s="158"/>
      <c r="U182" s="153"/>
      <c r="V182" s="153"/>
      <c r="W182" s="158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  <c r="AH182" s="153"/>
      <c r="AI182" s="153"/>
      <c r="AJ182" s="153"/>
      <c r="AK182" s="153"/>
      <c r="AL182" s="153"/>
      <c r="AM182" s="152"/>
      <c r="AN182" s="152"/>
    </row>
    <row r="183" spans="3:50">
      <c r="C183" s="154" t="s">
        <v>65</v>
      </c>
      <c r="D183" s="5">
        <f>IF(G183&lt;=2000,950,(IF(G183&lt;=3000,1150,(IF(G183&lt;=8000,1550,(IF(G183&lt;=10000,1750,(IF(G183&lt;=18000,2050,(IF(G183&lt;=32000,2900,(IF(G183&lt;=40000,3600,4000)))))))))))))</f>
        <v>1550</v>
      </c>
      <c r="E183" s="5">
        <f>IF(G183&lt;=2000,950,(IF(G183&lt;=4000,1100,(IF(G183&lt;=6000,1250,(IF(G183&lt;=10000,1550,(IF(G183&lt;=15000,1750,(IF(G183&lt;=24000,2050,(IF(G183&lt;=40000,2900,3600)))))))))))))</f>
        <v>1250</v>
      </c>
      <c r="F183" s="5">
        <f>H183+I183+G184</f>
        <v>2150</v>
      </c>
      <c r="G183" s="6">
        <v>4200</v>
      </c>
      <c r="H183" s="5">
        <f>IF(D184&lt;=315,1600,(IF(D184=355,1650,(IF(D184=400,1650,(IF(D184=450,1700,(IF(D184=500,1700,(IF(D184=560,1800,(IF(D184=630,2000,(IF(D184=710,2200,2500)))))))))))))))</f>
        <v>1650</v>
      </c>
      <c r="I183" s="5">
        <f>IF(H184=2,1500,(IF(H184=1,500,0)))</f>
        <v>500</v>
      </c>
      <c r="J183" s="156" t="s">
        <v>32</v>
      </c>
      <c r="K183" s="156">
        <v>1</v>
      </c>
      <c r="L183" s="157">
        <f>Q183*0.9</f>
        <v>137250</v>
      </c>
      <c r="M183" s="157">
        <f>L183*K183</f>
        <v>137250</v>
      </c>
      <c r="N183" s="157">
        <f>Q183*0.1</f>
        <v>15250</v>
      </c>
      <c r="O183" s="168">
        <f>N183*K183</f>
        <v>15250</v>
      </c>
      <c r="P183" s="168">
        <v>152500</v>
      </c>
      <c r="Q183" s="158">
        <f>CEILING((S183+T183+U183+V183+W183),250)</f>
        <v>152500</v>
      </c>
      <c r="R183" s="158">
        <v>450</v>
      </c>
      <c r="S183" s="158">
        <f>(D183*E183*3*10.76+D183*F183*2*10.76+E183*F183*2*10.76)*R183/(1000*1000)</f>
        <v>86441.804999999993</v>
      </c>
      <c r="T183" s="158">
        <f>F184*4*1050</f>
        <v>0</v>
      </c>
      <c r="U183" s="153">
        <f>IF(G183&lt;=2000,5000,(IF(G183&lt;=5000,8000,(IF(G183&lt;=10000,10000,(IF(G183&lt;=18000,15000,(IF(G183&lt;=40000,20000,10000)))))))))</f>
        <v>8000</v>
      </c>
      <c r="V183" s="153">
        <f>IF(X183=200,17150,(IF(X183=225,18150,(IF(X183=250,18900,(IF(X183=280,19150,(IF(X183=315,19650,(IF(X183=355,21900,(IF(X183=400,24400,0)))))))))))))+IF(X183=450,31000,(IF(X183=500,37450,(IF(X183=560,45650,(IF(X183=630,58900,(IF(X183=710,77950,0)))))))))+IF(X183=800,119650,(IF(X183=900,153300,(IF(X183=1000,178900,(IF(X183=1120,286500,(IF(X183=1250,394500,(IF(X183=1450,461500,0)))))))))))</f>
        <v>21900</v>
      </c>
      <c r="W183" s="158">
        <f>IF(E184=0.5,16600,(IF(E184=1,19050,(IF(E184=1.5,21750,(IF(E184=2,23600,(IF(E184=3,30000,(IF(E184=5,38000,0)))))))))))*1.2+IF(E184=7.5,52300,(IF(E184=10,59600,0)))*1.2+IF(E184=12.5,100350,(IF(E184=15,106000,(IF(E184=20,129150,(IF(E184=25,146050,(IF(E184=30,173600,(IF(E184=40,233900,(IF(E184=50,304650)))))))))))))*1.2</f>
        <v>36000</v>
      </c>
      <c r="X183" s="153">
        <f>IF(G183&lt;=5250,Z183,Y183)</f>
        <v>355</v>
      </c>
      <c r="Y183" s="153">
        <f>IF(G183&lt;=6750,450,(IF(G183&lt;=8500,500,(IF(G183&lt;=10750,560,(IF(G183&lt;=13500,630,(IF(G183&lt;=17000,710,(IF(G183&lt;=21500,800,(IF(G183&lt;=27000,900,(IF(G183&lt;=34000,1000,0)))))))))))))))</f>
        <v>450</v>
      </c>
      <c r="Z183" s="153">
        <f>IF(G183&lt;=1300,200,(IF(G183&lt;=1600,225,(IF(G183&lt;=2100,250,(IF(G183&lt;=2700,280,(IF(G183&lt;=3450,315,(IF(G183&lt;=4250,355,(IF(G183&lt;=5250,400,(IF(G183&lt;=6750,450,0)))))))))))))))</f>
        <v>355</v>
      </c>
      <c r="AA183" s="153">
        <f>IF(G183&lt;=2000,5000,(IF(G183&lt;=5000,8000,(IF(G183&lt;=10000,10000,(IF(G183&lt;=18000,15000,(IF(G183&lt;=40000,20000,10000)))))))))</f>
        <v>8000</v>
      </c>
      <c r="AB183" s="153">
        <f>IF(D183=950,2,(IF(D183=1150,3,(IF(D183=1550,4,(IF(D183=1750,5,(IF(D183=2050,6,(IF(D183=2900,8,(IF(D183=3600,10,1)))))))))))))</f>
        <v>4</v>
      </c>
      <c r="AC183" s="153">
        <f>IF(E183=950,2,(IF(E183=1100,2,(IF(E183=1250,3,(IF(E183=1550,4,(IF(E183=1750,5,(IF(E183=2050,6,(IF(E183=2900,8,(IF(E183=3600,10,1)))))))))))))))</f>
        <v>3</v>
      </c>
      <c r="AD183" s="153">
        <f>AC183*AB183</f>
        <v>12</v>
      </c>
      <c r="AE183" s="153">
        <v>150</v>
      </c>
      <c r="AF183" s="153">
        <f>CEILING((SQRT(G183/1000))*4*2*AE183*1.25*K183,100)</f>
        <v>3100</v>
      </c>
      <c r="AG183" s="153"/>
      <c r="AH183" s="153"/>
      <c r="AI183" s="153"/>
      <c r="AJ183" s="153"/>
      <c r="AK183" s="153"/>
      <c r="AL183" s="153">
        <f>AB183*AC183</f>
        <v>12</v>
      </c>
      <c r="AM183" s="152">
        <f>(G183*2/1300)</f>
        <v>6.4615384615384617</v>
      </c>
      <c r="AN183" s="152">
        <f>(G183*1/1100)</f>
        <v>3.8181818181818183</v>
      </c>
    </row>
    <row r="184" spans="3:50">
      <c r="C184" s="155"/>
      <c r="D184" s="5">
        <f>IF(G183&lt;=5250,Z183,Y183)</f>
        <v>355</v>
      </c>
      <c r="E184" s="5">
        <v>3</v>
      </c>
      <c r="F184" s="5">
        <v>0</v>
      </c>
      <c r="G184" s="5">
        <v>0</v>
      </c>
      <c r="H184" s="5">
        <v>1</v>
      </c>
      <c r="I184" s="5">
        <v>0</v>
      </c>
      <c r="J184" s="156"/>
      <c r="K184" s="156"/>
      <c r="L184" s="157"/>
      <c r="M184" s="157"/>
      <c r="N184" s="157"/>
      <c r="O184" s="168"/>
      <c r="P184" s="168"/>
      <c r="Q184" s="158"/>
      <c r="R184" s="158"/>
      <c r="S184" s="158"/>
      <c r="T184" s="158"/>
      <c r="U184" s="153"/>
      <c r="V184" s="153"/>
      <c r="W184" s="158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  <c r="AH184" s="153"/>
      <c r="AI184" s="153"/>
      <c r="AJ184" s="153"/>
      <c r="AK184" s="153"/>
      <c r="AL184" s="153"/>
      <c r="AM184" s="152"/>
      <c r="AN184" s="152"/>
    </row>
    <row r="185" spans="3:50" ht="26.25" thickBot="1">
      <c r="C185" s="41"/>
      <c r="D185" s="42" t="s">
        <v>35</v>
      </c>
      <c r="E185" s="42" t="s">
        <v>1</v>
      </c>
      <c r="F185" s="42" t="s">
        <v>36</v>
      </c>
      <c r="G185" s="42" t="s">
        <v>37</v>
      </c>
      <c r="H185" s="42" t="s">
        <v>38</v>
      </c>
      <c r="I185" s="42" t="s">
        <v>39</v>
      </c>
      <c r="J185" s="8"/>
      <c r="K185" s="8"/>
      <c r="L185" s="43"/>
      <c r="M185" s="43"/>
      <c r="N185" s="43"/>
      <c r="O185" s="44"/>
      <c r="P185" s="44"/>
      <c r="AM185" s="83"/>
      <c r="AN185" s="83"/>
    </row>
    <row r="186" spans="3:50" ht="15">
      <c r="C186" s="141"/>
      <c r="D186" s="185" t="s">
        <v>44</v>
      </c>
      <c r="E186" s="186"/>
      <c r="F186" s="186"/>
      <c r="G186" s="186"/>
      <c r="H186" s="186"/>
      <c r="I186" s="187"/>
      <c r="J186" s="12"/>
      <c r="K186" s="145"/>
      <c r="L186" s="146"/>
      <c r="M186" s="146"/>
      <c r="N186" s="146"/>
      <c r="O186" s="147"/>
      <c r="P186" s="147"/>
      <c r="Q186" s="134"/>
      <c r="R186" s="134"/>
      <c r="S186" s="134"/>
      <c r="T186" s="134"/>
      <c r="U186" s="132"/>
      <c r="V186" s="132"/>
      <c r="W186" s="134"/>
      <c r="X186" s="132"/>
      <c r="Y186" s="132"/>
      <c r="Z186" s="132"/>
      <c r="AA186" s="132"/>
      <c r="AB186" s="132"/>
      <c r="AC186" s="132"/>
      <c r="AD186" s="132"/>
      <c r="AE186" s="132"/>
      <c r="AF186" s="132"/>
      <c r="AG186" s="132"/>
      <c r="AH186" s="132"/>
      <c r="AI186" s="132"/>
      <c r="AJ186" s="132"/>
      <c r="AK186" s="132"/>
      <c r="AL186" s="132"/>
      <c r="AM186" s="133"/>
      <c r="AN186" s="133"/>
    </row>
    <row r="187" spans="3:50">
      <c r="C187" s="154" t="s">
        <v>66</v>
      </c>
      <c r="D187" s="5">
        <f>IF(G187&lt;=2000,950,(IF(G187&lt;=3000,1150,(IF(G187&lt;=8000,1550,(IF(G187&lt;=10000,1750,(IF(G187&lt;=18000,2050,(IF(G187&lt;=32000,2900,(IF(G187&lt;=40000,3600,4000)))))))))))))</f>
        <v>1750</v>
      </c>
      <c r="E187" s="5">
        <f>IF(G187&lt;=2000,950,(IF(G187&lt;=4000,1100,(IF(G187&lt;=6000,1250,(IF(G187&lt;=10000,1550,(IF(G187&lt;=15000,1750,(IF(G187&lt;=24000,2050,(IF(G187&lt;=40000,2900,3600)))))))))))))</f>
        <v>1550</v>
      </c>
      <c r="F187" s="5">
        <f>H187+I187+G188</f>
        <v>2200</v>
      </c>
      <c r="G187" s="6">
        <v>8250</v>
      </c>
      <c r="H187" s="5">
        <f>IF(D188&lt;=315,1600,(IF(D188=355,1650,(IF(D188=400,1650,(IF(D188=450,1700,(IF(D188=500,1700,(IF(D188=560,1800,(IF(D188=630,2000,(IF(D188=710,2200,2500)))))))))))))))</f>
        <v>1700</v>
      </c>
      <c r="I187" s="5">
        <f>IF(H188=2,1500,(IF(H188=1,500,0)))</f>
        <v>500</v>
      </c>
      <c r="J187" s="156" t="s">
        <v>32</v>
      </c>
      <c r="K187" s="156">
        <v>2</v>
      </c>
      <c r="L187" s="157">
        <f>Q187*0.9</f>
        <v>182700</v>
      </c>
      <c r="M187" s="157">
        <f>L187*K187</f>
        <v>365400</v>
      </c>
      <c r="N187" s="157">
        <f>Q187*0.1</f>
        <v>20300</v>
      </c>
      <c r="O187" s="168">
        <f>N187*K187</f>
        <v>40600</v>
      </c>
      <c r="P187" s="168">
        <v>203000</v>
      </c>
      <c r="Q187" s="158">
        <f>CEILING((S187+T187+U187+V187+W187),250)</f>
        <v>203000</v>
      </c>
      <c r="R187" s="158">
        <v>450</v>
      </c>
      <c r="S187" s="158">
        <f>(D187*E187*3*10.76+D187*F187*2*10.76+E187*F187*2*10.76)*R187/(1000*1000)</f>
        <v>109707.61500000001</v>
      </c>
      <c r="T187" s="158">
        <f>F188*4*1050</f>
        <v>0</v>
      </c>
      <c r="U187" s="153">
        <f>IF(G187&lt;=2000,5000,(IF(G187&lt;=5000,8000,(IF(G187&lt;=10000,10000,(IF(G187&lt;=18000,15000,(IF(G187&lt;=40000,20000,10000)))))))))</f>
        <v>10000</v>
      </c>
      <c r="V187" s="153">
        <f>IF(X187=200,17150,(IF(X187=225,18150,(IF(X187=250,18900,(IF(X187=280,19150,(IF(X187=315,19650,(IF(X187=355,21900,(IF(X187=400,24400,0)))))))))))))+IF(X187=450,31000,(IF(X187=500,37450,(IF(X187=560,45650,(IF(X187=630,58900,(IF(X187=710,77950,0)))))))))+IF(X187=800,119650,(IF(X187=900,153300,(IF(X187=1000,178900,(IF(X187=1120,286500,(IF(X187=1250,394500,(IF(X187=1450,461500,0)))))))))))</f>
        <v>37450</v>
      </c>
      <c r="W187" s="158">
        <f>IF(E188=0.5,16600,(IF(E188=1,19050,(IF(E188=1.5,21750,(IF(E188=2,23600,(IF(E188=3,30000,(IF(E188=5,38000,0)))))))))))*1.2+IF(E188=7.5,52300,(IF(E188=10,59600,0)))*1.2+IF(E188=12.5,100350,(IF(E188=15,106000,(IF(E188=20,129150,(IF(E188=25,146050,(IF(E188=30,173600,(IF(E188=40,233900,(IF(E188=50,304650)))))))))))))*1.2</f>
        <v>45600</v>
      </c>
      <c r="X187" s="153">
        <f>IF(G187&lt;=5250,Z187,Y187)</f>
        <v>500</v>
      </c>
      <c r="Y187" s="153">
        <f>IF(G187&lt;=6750,450,(IF(G187&lt;=8500,500,(IF(G187&lt;=10750,560,(IF(G187&lt;=13500,630,(IF(G187&lt;=17000,710,(IF(G187&lt;=21500,800,(IF(G187&lt;=27000,900,(IF(G187&lt;=34000,1000,0)))))))))))))))</f>
        <v>500</v>
      </c>
      <c r="Z187" s="153">
        <f>IF(G187&lt;=1300,200,(IF(G187&lt;=1600,225,(IF(G187&lt;=2100,250,(IF(G187&lt;=2700,280,(IF(G187&lt;=3450,315,(IF(G187&lt;=4250,355,(IF(G187&lt;=5250,400,(IF(G187&lt;=6750,450,0)))))))))))))))</f>
        <v>0</v>
      </c>
      <c r="AA187" s="153">
        <f>IF(G187&lt;=2000,5000,(IF(G187&lt;=5000,8000,(IF(G187&lt;=10000,10000,(IF(G187&lt;=18000,15000,(IF(G187&lt;=40000,20000,10000)))))))))</f>
        <v>10000</v>
      </c>
      <c r="AB187" s="153">
        <f>IF(D187=950,2,(IF(D187=1150,3,(IF(D187=1550,4,(IF(D187=1750,5,(IF(D187=2050,6,(IF(D187=2900,8,(IF(D187=3600,10,1)))))))))))))</f>
        <v>5</v>
      </c>
      <c r="AC187" s="153">
        <f>IF(E187=950,2,(IF(E187=1100,2,(IF(E187=1250,3,(IF(E187=1550,4,(IF(E187=1750,5,(IF(E187=2050,6,(IF(E187=2900,8,(IF(E187=3600,10,1)))))))))))))))</f>
        <v>4</v>
      </c>
      <c r="AD187" s="153">
        <f>AC187*AB187</f>
        <v>20</v>
      </c>
      <c r="AE187" s="153">
        <v>150</v>
      </c>
      <c r="AF187" s="153">
        <f>CEILING((SQRT(G187/1000))*4*2*AE187*1.25*K187,100)</f>
        <v>8700</v>
      </c>
      <c r="AG187" s="153"/>
      <c r="AH187" s="153"/>
      <c r="AI187" s="153"/>
      <c r="AJ187" s="153"/>
      <c r="AK187" s="153"/>
      <c r="AL187" s="153">
        <f>AB187*AC187</f>
        <v>20</v>
      </c>
      <c r="AM187" s="152">
        <f>(G187*2/1300)</f>
        <v>12.692307692307692</v>
      </c>
      <c r="AN187" s="152">
        <f>(G187*1/1100)</f>
        <v>7.5</v>
      </c>
      <c r="AX187" s="153"/>
    </row>
    <row r="188" spans="3:50">
      <c r="C188" s="155"/>
      <c r="D188" s="5">
        <f>IF(G187&lt;=5250,Z187,Y187)</f>
        <v>500</v>
      </c>
      <c r="E188" s="5">
        <v>5</v>
      </c>
      <c r="F188" s="5">
        <v>0</v>
      </c>
      <c r="G188" s="5">
        <v>0</v>
      </c>
      <c r="H188" s="5">
        <v>1</v>
      </c>
      <c r="I188" s="5">
        <v>0</v>
      </c>
      <c r="J188" s="156"/>
      <c r="K188" s="156"/>
      <c r="L188" s="157"/>
      <c r="M188" s="157"/>
      <c r="N188" s="157"/>
      <c r="O188" s="168"/>
      <c r="P188" s="168"/>
      <c r="Q188" s="158"/>
      <c r="R188" s="158"/>
      <c r="S188" s="158"/>
      <c r="T188" s="158"/>
      <c r="U188" s="153"/>
      <c r="V188" s="153"/>
      <c r="W188" s="158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  <c r="AH188" s="153"/>
      <c r="AI188" s="153"/>
      <c r="AJ188" s="153"/>
      <c r="AK188" s="153"/>
      <c r="AL188" s="153"/>
      <c r="AM188" s="152"/>
      <c r="AN188" s="152"/>
      <c r="AX188" s="153"/>
    </row>
    <row r="189" spans="3:50">
      <c r="C189" s="154" t="s">
        <v>67</v>
      </c>
      <c r="D189" s="5">
        <f>IF(G189&lt;=2000,950,(IF(G189&lt;=3000,1150,(IF(G189&lt;=8000,1550,(IF(G189&lt;=10000,1750,(IF(G189&lt;=18000,2050,(IF(G189&lt;=32000,2900,(IF(G189&lt;=40000,3600,4000)))))))))))))</f>
        <v>1750</v>
      </c>
      <c r="E189" s="5">
        <f>IF(G189&lt;=2000,950,(IF(G189&lt;=4000,1100,(IF(G189&lt;=6000,1250,(IF(G189&lt;=10000,1550,(IF(G189&lt;=15000,1750,(IF(G189&lt;=24000,2050,(IF(G189&lt;=40000,2900,3600)))))))))))))</f>
        <v>1550</v>
      </c>
      <c r="F189" s="5">
        <f>H189+I189+G190</f>
        <v>2300</v>
      </c>
      <c r="G189" s="6">
        <v>9250</v>
      </c>
      <c r="H189" s="5">
        <f>IF(D190&lt;=315,1600,(IF(D190=355,1650,(IF(D190=400,1650,(IF(D190=450,1700,(IF(D190=500,1700,(IF(D190=560,1800,(IF(D190=630,2000,(IF(D190=710,2200,2500)))))))))))))))</f>
        <v>1800</v>
      </c>
      <c r="I189" s="5">
        <f>IF(H190=2,1500,(IF(H190=1,500,0)))</f>
        <v>500</v>
      </c>
      <c r="J189" s="156" t="s">
        <v>32</v>
      </c>
      <c r="K189" s="156">
        <v>2</v>
      </c>
      <c r="L189" s="157">
        <f>Q189*0.9</f>
        <v>192825</v>
      </c>
      <c r="M189" s="157">
        <f>L189*K189</f>
        <v>385650</v>
      </c>
      <c r="N189" s="157">
        <f>Q189*0.1</f>
        <v>21425</v>
      </c>
      <c r="O189" s="168">
        <f>N189*K189</f>
        <v>42850</v>
      </c>
      <c r="P189" s="168">
        <v>214250</v>
      </c>
      <c r="Q189" s="158">
        <f>CEILING((S189+T189+U189+V189+W189),250)</f>
        <v>214250</v>
      </c>
      <c r="R189" s="158">
        <v>450</v>
      </c>
      <c r="S189" s="158">
        <f>(D189*E189*3*10.76+D189*F189*2*10.76+E189*F189*2*10.76)*R189/(1000*1000)</f>
        <v>112903.33500000001</v>
      </c>
      <c r="T189" s="158">
        <f>F190*4*1050</f>
        <v>0</v>
      </c>
      <c r="U189" s="153">
        <f>IF(G189&lt;=2000,5000,(IF(G189&lt;=5000,8000,(IF(G189&lt;=10000,10000,(IF(G189&lt;=18000,15000,(IF(G189&lt;=40000,20000,10000)))))))))</f>
        <v>10000</v>
      </c>
      <c r="V189" s="153">
        <f>IF(X189=200,17150,(IF(X189=225,18150,(IF(X189=250,18900,(IF(X189=280,19150,(IF(X189=315,19650,(IF(X189=355,21900,(IF(X189=400,24400,0)))))))))))))+IF(X189=450,31000,(IF(X189=500,37450,(IF(X189=560,45650,(IF(X189=630,58900,(IF(X189=710,77950,0)))))))))+IF(X189=800,119650,(IF(X189=900,153300,(IF(X189=1000,178900,(IF(X189=1120,286500,(IF(X189=1250,394500,(IF(X189=1450,461500,0)))))))))))</f>
        <v>45650</v>
      </c>
      <c r="W189" s="158">
        <f>IF(E190=0.5,16600,(IF(E190=1,19050,(IF(E190=1.5,21750,(IF(E190=2,23600,(IF(E190=3,30000,(IF(E190=5,38000,0)))))))))))*1.2+IF(E190=7.5,52300,(IF(E190=10,59600,0)))*1.2+IF(E190=12.5,100350,(IF(E190=15,106000,(IF(E190=20,129150,(IF(E190=25,146050,(IF(E190=30,173600,(IF(E190=40,233900,(IF(E190=50,304650)))))))))))))*1.2</f>
        <v>45600</v>
      </c>
      <c r="X189" s="153">
        <f>IF(G189&lt;=5250,Z189,Y189)</f>
        <v>560</v>
      </c>
      <c r="Y189" s="153">
        <f>IF(G189&lt;=6750,450,(IF(G189&lt;=8500,500,(IF(G189&lt;=10750,560,(IF(G189&lt;=13500,630,(IF(G189&lt;=17000,710,(IF(G189&lt;=21500,800,(IF(G189&lt;=27000,900,(IF(G189&lt;=34000,1000,0)))))))))))))))</f>
        <v>560</v>
      </c>
      <c r="Z189" s="153">
        <f>IF(G189&lt;=1300,200,(IF(G189&lt;=1600,225,(IF(G189&lt;=2100,250,(IF(G189&lt;=2700,280,(IF(G189&lt;=3450,315,(IF(G189&lt;=4250,355,(IF(G189&lt;=5250,400,(IF(G189&lt;=6750,450,0)))))))))))))))</f>
        <v>0</v>
      </c>
      <c r="AA189" s="153">
        <f>IF(G189&lt;=2000,5000,(IF(G189&lt;=5000,8000,(IF(G189&lt;=10000,10000,(IF(G189&lt;=18000,15000,(IF(G189&lt;=40000,20000,10000)))))))))</f>
        <v>10000</v>
      </c>
      <c r="AB189" s="153">
        <f>IF(D189=950,2,(IF(D189=1150,3,(IF(D189=1550,4,(IF(D189=1750,5,(IF(D189=2050,6,(IF(D189=2900,8,(IF(D189=3600,10,1)))))))))))))</f>
        <v>5</v>
      </c>
      <c r="AC189" s="153">
        <f>IF(E189=950,2,(IF(E189=1100,2,(IF(E189=1250,3,(IF(E189=1550,4,(IF(E189=1750,5,(IF(E189=2050,6,(IF(E189=2900,8,(IF(E189=3600,10,1)))))))))))))))</f>
        <v>4</v>
      </c>
      <c r="AD189" s="153">
        <f>AC189*AB189</f>
        <v>20</v>
      </c>
      <c r="AE189" s="153">
        <v>150</v>
      </c>
      <c r="AF189" s="153">
        <f>CEILING((SQRT(G189/1000))*4*2*AE189*1.25*K189,100)</f>
        <v>9200</v>
      </c>
      <c r="AG189" s="153"/>
      <c r="AH189" s="153"/>
      <c r="AI189" s="153"/>
      <c r="AJ189" s="153"/>
      <c r="AK189" s="153"/>
      <c r="AL189" s="153">
        <f>AB189*AC189</f>
        <v>20</v>
      </c>
      <c r="AM189" s="152">
        <f>(G189*2/1300)</f>
        <v>14.23076923076923</v>
      </c>
      <c r="AN189" s="152">
        <f>(G189*1/1100)</f>
        <v>8.4090909090909083</v>
      </c>
      <c r="AX189" s="153"/>
    </row>
    <row r="190" spans="3:50">
      <c r="C190" s="155"/>
      <c r="D190" s="5">
        <f>IF(G189&lt;=5250,Z189,Y189)</f>
        <v>560</v>
      </c>
      <c r="E190" s="5">
        <v>5</v>
      </c>
      <c r="F190" s="5">
        <v>0</v>
      </c>
      <c r="G190" s="5">
        <v>0</v>
      </c>
      <c r="H190" s="5">
        <v>1</v>
      </c>
      <c r="I190" s="5">
        <v>0</v>
      </c>
      <c r="J190" s="156"/>
      <c r="K190" s="156"/>
      <c r="L190" s="157"/>
      <c r="M190" s="157"/>
      <c r="N190" s="157"/>
      <c r="O190" s="168"/>
      <c r="P190" s="168"/>
      <c r="Q190" s="158"/>
      <c r="R190" s="158"/>
      <c r="S190" s="158"/>
      <c r="T190" s="158"/>
      <c r="U190" s="153"/>
      <c r="V190" s="153"/>
      <c r="W190" s="158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  <c r="AH190" s="153"/>
      <c r="AI190" s="153"/>
      <c r="AJ190" s="153"/>
      <c r="AK190" s="153"/>
      <c r="AL190" s="153"/>
      <c r="AM190" s="152"/>
      <c r="AN190" s="152"/>
      <c r="AX190" s="153"/>
    </row>
    <row r="191" spans="3:50" ht="15">
      <c r="C191" s="141"/>
      <c r="D191" s="185" t="s">
        <v>24</v>
      </c>
      <c r="E191" s="186"/>
      <c r="F191" s="186"/>
      <c r="G191" s="186"/>
      <c r="H191" s="186"/>
      <c r="I191" s="187"/>
      <c r="J191" s="135"/>
      <c r="K191" s="135"/>
      <c r="L191" s="136"/>
      <c r="M191" s="136"/>
      <c r="N191" s="136"/>
      <c r="O191" s="137"/>
      <c r="P191" s="137"/>
      <c r="Q191" s="134"/>
      <c r="R191" s="134"/>
      <c r="S191" s="134"/>
      <c r="T191" s="134"/>
      <c r="U191" s="132"/>
      <c r="V191" s="132"/>
      <c r="W191" s="134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3"/>
      <c r="AN191" s="133"/>
    </row>
    <row r="192" spans="3:50">
      <c r="C192" s="154" t="s">
        <v>68</v>
      </c>
      <c r="D192" s="5">
        <f>IF(G192&lt;=600,600,(IF(G192&lt;=2000,950,(IF(G192&lt;=3000,1150,(IF(G192&lt;=8000,1550,(IF(G192&lt;=10000,1750,(IF(G192&lt;=18000,2050,(IF(G192&lt;=32000,2900,(IF(G192&lt;=40000,3600,4000)))))))))))))))</f>
        <v>600</v>
      </c>
      <c r="E192" s="5">
        <f>IF(G192&lt;=600,600,(IF(G192&lt;=2000,950,(IF(G192&lt;=3000,1150,(IF(G192&lt;=8000,1550,(IF(G192&lt;=10000,1750,(IF(G192&lt;=18000,2050,(IF(G192&lt;=32000,2900,(IF(G192&lt;=40000,3600,4000)))))))))))))))</f>
        <v>600</v>
      </c>
      <c r="F192" s="5">
        <f>H192+I192+G193</f>
        <v>2100</v>
      </c>
      <c r="G192" s="6">
        <v>575</v>
      </c>
      <c r="H192" s="5">
        <f>IF(D193&lt;=315,1600,(IF(D193=355,1650,(IF(D193=400,1650,(IF(D193=450,1700,(IF(D193=500,1700,(IF(D193=560,1800,(IF(D193=630,2000,(IF(D193=710,2200,2500)))))))))))))))</f>
        <v>1600</v>
      </c>
      <c r="I192" s="5">
        <f>IF(H193=2,1500,(IF(H193=1,500,0)))</f>
        <v>500</v>
      </c>
      <c r="J192" s="156" t="s">
        <v>32</v>
      </c>
      <c r="K192" s="156">
        <v>4</v>
      </c>
      <c r="L192" s="157">
        <f>Q192*0.9</f>
        <v>64575</v>
      </c>
      <c r="M192" s="157">
        <f>L192*K192</f>
        <v>258300</v>
      </c>
      <c r="N192" s="157">
        <f>Q192*0.1</f>
        <v>7175</v>
      </c>
      <c r="O192" s="168">
        <f>N192*K192</f>
        <v>28700</v>
      </c>
      <c r="P192" s="168">
        <v>71750</v>
      </c>
      <c r="Q192" s="158">
        <f>CEILING((S192+T192+U192+V192+W192),250)</f>
        <v>71750</v>
      </c>
      <c r="R192" s="158">
        <v>450</v>
      </c>
      <c r="S192" s="158">
        <f>(D192*E192*3*10.76+D192*F192*2*10.76+E192*F192*2*10.76)*R192/(1000*1000)</f>
        <v>29633.040000000001</v>
      </c>
      <c r="T192" s="158">
        <f>F193*4*1050</f>
        <v>0</v>
      </c>
      <c r="U192" s="153">
        <f>IF(G192&lt;=2000,5000,(IF(G192&lt;=5000,8000,(IF(G192&lt;=10000,10000,(IF(G192&lt;=18000,15000,(IF(G192&lt;=40000,20000,10000)))))))))</f>
        <v>5000</v>
      </c>
      <c r="V192" s="153">
        <f>IF(X192=200,17150,(IF(X192=225,18150,(IF(X192=250,18900,(IF(X192=280,19150,(IF(X192=315,19650,(IF(X192=355,21900,(IF(X192=400,24400,0)))))))))))))+IF(X192=450,31000,(IF(X192=500,37450,(IF(X192=560,45650,(IF(X192=630,58900,(IF(X192=710,77950,0)))))))))+IF(X192=800,119650,(IF(X192=900,153300,(IF(X192=1000,178900,(IF(X192=1120,286500,(IF(X192=1250,394500,(IF(X192=1450,461500,0)))))))))))</f>
        <v>17150</v>
      </c>
      <c r="W192" s="158">
        <f>IF(E193=0.5,16600,(IF(E193=1,19050,(IF(E193=1.5,21750,(IF(E193=2,23600,(IF(E193=3,30000,(IF(E193=5,38000,0)))))))))))*1.2+IF(E193=7.5,52300,(IF(E193=10,59600,0)))*1.2+IF(E193=12.5,100350,(IF(E193=15,106000,(IF(E193=20,129150,(IF(E193=25,146050,(IF(E193=30,173600,(IF(E193=40,233900,(IF(E193=50,304650)))))))))))))*1.2</f>
        <v>19920</v>
      </c>
      <c r="X192" s="153">
        <f>IF(G192&lt;=5250,Z192,Y192)</f>
        <v>200</v>
      </c>
      <c r="Y192" s="153">
        <f>IF(G192&lt;=6750,450,(IF(G192&lt;=8500,500,(IF(G192&lt;=10750,560,(IF(G192&lt;=13500,630,(IF(G192&lt;=17000,710,(IF(G192&lt;=21500,800,(IF(G192&lt;=27000,900,(IF(G192&lt;=34000,1000,0)))))))))))))))</f>
        <v>450</v>
      </c>
      <c r="Z192" s="153">
        <f>IF(G192&lt;=1300,200,(IF(G192&lt;=1600,225,(IF(G192&lt;=2100,250,(IF(G192&lt;=2700,280,(IF(G192&lt;=3450,315,(IF(G192&lt;=4250,355,(IF(G192&lt;=5250,400,(IF(G192&lt;=6750,450,0)))))))))))))))</f>
        <v>200</v>
      </c>
      <c r="AA192" s="153">
        <f>IF(G192&lt;=2000,5000,(IF(G192&lt;=5000,8000,(IF(G192&lt;=10000,10000,(IF(G192&lt;=18000,15000,(IF(G192&lt;=40000,20000,10000)))))))))</f>
        <v>5000</v>
      </c>
      <c r="AB192" s="153">
        <f>IF(D192=950,2,(IF(D192=1150,3,(IF(D192=1550,4,(IF(D192=1750,5,(IF(D192=2050,6,(IF(D192=2900,8,(IF(D192=3600,10,1)))))))))))))</f>
        <v>1</v>
      </c>
      <c r="AC192" s="153">
        <f>IF(E192=950,2,(IF(E192=1100,2,(IF(E192=1250,3,(IF(E192=1550,4,(IF(E192=1750,5,(IF(E192=2050,6,(IF(E192=2900,8,(IF(E192=3600,10,1)))))))))))))))</f>
        <v>1</v>
      </c>
      <c r="AD192" s="153">
        <f>AC192*AB192</f>
        <v>1</v>
      </c>
      <c r="AE192" s="153">
        <v>150</v>
      </c>
      <c r="AF192" s="153">
        <f>CEILING((SQRT(G192/1000))*4*2*AE192*1.25*K192,100)</f>
        <v>4600</v>
      </c>
      <c r="AG192" s="153"/>
      <c r="AH192" s="153"/>
      <c r="AI192" s="153"/>
      <c r="AJ192" s="153"/>
      <c r="AK192" s="153"/>
      <c r="AL192" s="153">
        <f>AB192*AC192</f>
        <v>1</v>
      </c>
      <c r="AM192" s="152">
        <f>(G192*2/1300)</f>
        <v>0.88461538461538458</v>
      </c>
      <c r="AN192" s="152">
        <f>(G192*1/1100)</f>
        <v>0.52272727272727271</v>
      </c>
    </row>
    <row r="193" spans="3:40">
      <c r="C193" s="155"/>
      <c r="D193" s="5"/>
      <c r="E193" s="5">
        <v>0.5</v>
      </c>
      <c r="F193" s="5">
        <v>0</v>
      </c>
      <c r="G193" s="5">
        <v>0</v>
      </c>
      <c r="H193" s="5">
        <v>1</v>
      </c>
      <c r="I193" s="5">
        <v>0</v>
      </c>
      <c r="J193" s="156"/>
      <c r="K193" s="156"/>
      <c r="L193" s="157"/>
      <c r="M193" s="157"/>
      <c r="N193" s="157"/>
      <c r="O193" s="168"/>
      <c r="P193" s="168"/>
      <c r="Q193" s="158"/>
      <c r="R193" s="158"/>
      <c r="S193" s="158"/>
      <c r="T193" s="158"/>
      <c r="U193" s="153"/>
      <c r="V193" s="153"/>
      <c r="W193" s="158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  <c r="AH193" s="153"/>
      <c r="AI193" s="153"/>
      <c r="AJ193" s="153"/>
      <c r="AK193" s="153"/>
      <c r="AL193" s="153"/>
      <c r="AM193" s="152"/>
      <c r="AN193" s="152"/>
    </row>
    <row r="194" spans="3:40">
      <c r="C194" s="154" t="s">
        <v>69</v>
      </c>
      <c r="D194" s="5">
        <f>IF(G194&lt;=600,600,(IF(G194&lt;=2000,950,(IF(G194&lt;=3000,1150,(IF(G194&lt;=8000,1550,(IF(G194&lt;=10000,1750,(IF(G194&lt;=18000,2050,(IF(G194&lt;=32000,2900,(IF(G194&lt;=40000,3600,4000)))))))))))))))</f>
        <v>600</v>
      </c>
      <c r="E194" s="5">
        <f>IF(G194&lt;=600,600,(IF(G194&lt;=2000,950,(IF(G194&lt;=3000,1150,(IF(G194&lt;=8000,1550,(IF(G194&lt;=10000,1750,(IF(G194&lt;=18000,2050,(IF(G194&lt;=32000,2900,(IF(G194&lt;=40000,3600,4000)))))))))))))))</f>
        <v>600</v>
      </c>
      <c r="F194" s="5">
        <f>H194+I194+G195</f>
        <v>2100</v>
      </c>
      <c r="G194" s="6">
        <v>300</v>
      </c>
      <c r="H194" s="5">
        <f>IF(D195&lt;=315,1600,(IF(D195=355,1650,(IF(D195=400,1650,(IF(D195=450,1700,(IF(D195=500,1700,(IF(D195=560,1800,(IF(D195=630,2000,(IF(D195=710,2200,2500)))))))))))))))</f>
        <v>1600</v>
      </c>
      <c r="I194" s="5">
        <f>IF(H195=2,1500,(IF(H195=1,500,0)))</f>
        <v>500</v>
      </c>
      <c r="J194" s="156" t="s">
        <v>32</v>
      </c>
      <c r="K194" s="156">
        <v>1</v>
      </c>
      <c r="L194" s="157">
        <f>Q194*0.9</f>
        <v>64575</v>
      </c>
      <c r="M194" s="157">
        <f>L194*K194</f>
        <v>64575</v>
      </c>
      <c r="N194" s="157">
        <f>Q194*0.1</f>
        <v>7175</v>
      </c>
      <c r="O194" s="168">
        <f>N194*K194</f>
        <v>7175</v>
      </c>
      <c r="P194" s="168">
        <v>71750</v>
      </c>
      <c r="Q194" s="158">
        <f>CEILING((S194+T194+U194+V194+W194),250)</f>
        <v>71750</v>
      </c>
      <c r="R194" s="158">
        <v>450</v>
      </c>
      <c r="S194" s="158">
        <f>(D194*E194*3*10.76+D194*F194*2*10.76+E194*F194*2*10.76)*R194/(1000*1000)</f>
        <v>29633.040000000001</v>
      </c>
      <c r="T194" s="158">
        <f>F195*4*1050</f>
        <v>0</v>
      </c>
      <c r="U194" s="153">
        <f>IF(G194&lt;=2000,5000,(IF(G194&lt;=5000,8000,(IF(G194&lt;=10000,10000,(IF(G194&lt;=18000,15000,(IF(G194&lt;=40000,20000,10000)))))))))</f>
        <v>5000</v>
      </c>
      <c r="V194" s="153">
        <f>IF(X194=200,17150,(IF(X194=225,18150,(IF(X194=250,18900,(IF(X194=280,19150,(IF(X194=315,19650,(IF(X194=355,21900,(IF(X194=400,24400,0)))))))))))))+IF(X194=450,31000,(IF(X194=500,37450,(IF(X194=560,45650,(IF(X194=630,58900,(IF(X194=710,77950,0)))))))))+IF(X194=800,119650,(IF(X194=900,153300,(IF(X194=1000,178900,(IF(X194=1120,286500,(IF(X194=1250,394500,(IF(X194=1450,461500,0)))))))))))</f>
        <v>17150</v>
      </c>
      <c r="W194" s="158">
        <f>IF(E195=0.5,16600,(IF(E195=1,19050,(IF(E195=1.5,21750,(IF(E195=2,23600,(IF(E195=3,30000,(IF(E195=5,38000,0)))))))))))*1.2+IF(E195=7.5,52300,(IF(E195=10,59600,0)))*1.2+IF(E195=12.5,100350,(IF(E195=15,106000,(IF(E195=20,129150,(IF(E195=25,146050,(IF(E195=30,173600,(IF(E195=40,233900,(IF(E195=50,304650)))))))))))))*1.2</f>
        <v>19920</v>
      </c>
      <c r="X194" s="153">
        <f>IF(G194&lt;=5250,Z194,Y194)</f>
        <v>200</v>
      </c>
      <c r="Y194" s="153">
        <f>IF(G194&lt;=6750,450,(IF(G194&lt;=8500,500,(IF(G194&lt;=10750,560,(IF(G194&lt;=13500,630,(IF(G194&lt;=17000,710,(IF(G194&lt;=21500,800,(IF(G194&lt;=27000,900,(IF(G194&lt;=34000,1000,0)))))))))))))))</f>
        <v>450</v>
      </c>
      <c r="Z194" s="153">
        <f>IF(G194&lt;=1300,200,(IF(G194&lt;=1600,225,(IF(G194&lt;=2100,250,(IF(G194&lt;=2700,280,(IF(G194&lt;=3450,315,(IF(G194&lt;=4250,355,(IF(G194&lt;=5250,400,(IF(G194&lt;=6750,450,0)))))))))))))))</f>
        <v>200</v>
      </c>
      <c r="AA194" s="153">
        <f>IF(G194&lt;=2000,5000,(IF(G194&lt;=5000,8000,(IF(G194&lt;=10000,10000,(IF(G194&lt;=18000,15000,(IF(G194&lt;=40000,20000,10000)))))))))</f>
        <v>5000</v>
      </c>
      <c r="AB194" s="153">
        <f>IF(D194=950,2,(IF(D194=1150,3,(IF(D194=1550,4,(IF(D194=1750,5,(IF(D194=2050,6,(IF(D194=2900,8,(IF(D194=3600,10,1)))))))))))))</f>
        <v>1</v>
      </c>
      <c r="AC194" s="153">
        <f>IF(E194=950,2,(IF(E194=1100,2,(IF(E194=1250,3,(IF(E194=1550,4,(IF(E194=1750,5,(IF(E194=2050,6,(IF(E194=2900,8,(IF(E194=3600,10,1)))))))))))))))</f>
        <v>1</v>
      </c>
      <c r="AD194" s="153">
        <f>AC194*AB194</f>
        <v>1</v>
      </c>
      <c r="AE194" s="153">
        <v>150</v>
      </c>
      <c r="AF194" s="153">
        <f>CEILING((SQRT(G194/1000))*4*2*AE194*1.25*K194,100)</f>
        <v>900</v>
      </c>
      <c r="AG194" s="153"/>
      <c r="AH194" s="153"/>
      <c r="AI194" s="153"/>
      <c r="AJ194" s="153"/>
      <c r="AK194" s="153"/>
      <c r="AL194" s="153">
        <f>AB194*AC194</f>
        <v>1</v>
      </c>
      <c r="AM194" s="152">
        <f>(G194*2/1300)</f>
        <v>0.46153846153846156</v>
      </c>
      <c r="AN194" s="152">
        <f>(G194*1/1100)</f>
        <v>0.27272727272727271</v>
      </c>
    </row>
    <row r="195" spans="3:40">
      <c r="C195" s="155"/>
      <c r="D195" s="5"/>
      <c r="E195" s="5">
        <v>0.5</v>
      </c>
      <c r="F195" s="5">
        <v>0</v>
      </c>
      <c r="G195" s="5">
        <v>0</v>
      </c>
      <c r="H195" s="5">
        <v>1</v>
      </c>
      <c r="I195" s="5">
        <v>0</v>
      </c>
      <c r="J195" s="156"/>
      <c r="K195" s="156"/>
      <c r="L195" s="157"/>
      <c r="M195" s="157"/>
      <c r="N195" s="157"/>
      <c r="O195" s="168"/>
      <c r="P195" s="168"/>
      <c r="Q195" s="158"/>
      <c r="R195" s="158"/>
      <c r="S195" s="158"/>
      <c r="T195" s="158"/>
      <c r="U195" s="153"/>
      <c r="V195" s="153"/>
      <c r="W195" s="158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  <c r="AH195" s="153"/>
      <c r="AI195" s="153"/>
      <c r="AJ195" s="153"/>
      <c r="AK195" s="153"/>
      <c r="AL195" s="153"/>
      <c r="AM195" s="152"/>
      <c r="AN195" s="152"/>
    </row>
    <row r="196" spans="3:40" ht="15">
      <c r="C196" s="141"/>
      <c r="D196" s="185" t="s">
        <v>44</v>
      </c>
      <c r="E196" s="186"/>
      <c r="F196" s="186"/>
      <c r="G196" s="186"/>
      <c r="H196" s="186"/>
      <c r="I196" s="187"/>
      <c r="J196" s="135"/>
      <c r="K196" s="135"/>
      <c r="L196" s="136"/>
      <c r="M196" s="136"/>
      <c r="N196" s="136"/>
      <c r="O196" s="137"/>
      <c r="P196" s="137"/>
      <c r="Q196" s="134"/>
      <c r="R196" s="134"/>
      <c r="S196" s="134"/>
      <c r="T196" s="134"/>
      <c r="U196" s="132"/>
      <c r="V196" s="132"/>
      <c r="W196" s="134"/>
      <c r="X196" s="132"/>
      <c r="Y196" s="132"/>
      <c r="Z196" s="132"/>
      <c r="AA196" s="132"/>
      <c r="AB196" s="132"/>
      <c r="AC196" s="132"/>
      <c r="AD196" s="132"/>
      <c r="AE196" s="132"/>
      <c r="AF196" s="132"/>
      <c r="AG196" s="132"/>
      <c r="AH196" s="132"/>
      <c r="AI196" s="132"/>
      <c r="AJ196" s="132"/>
      <c r="AK196" s="132"/>
      <c r="AL196" s="132"/>
      <c r="AM196" s="133"/>
      <c r="AN196" s="133"/>
    </row>
    <row r="197" spans="3:40">
      <c r="C197" s="154" t="s">
        <v>69</v>
      </c>
      <c r="D197" s="5">
        <f>IF(G197&lt;=600,600,(IF(G197&lt;=2000,950,(IF(G197&lt;=3000,1150,(IF(G197&lt;=8000,1550,(IF(G197&lt;=10000,1750,(IF(G197&lt;=18000,2050,(IF(G197&lt;=32000,2900,(IF(G197&lt;=40000,3600,4000)))))))))))))))</f>
        <v>600</v>
      </c>
      <c r="E197" s="5">
        <f>IF(G197&lt;=600,600,(IF(G197&lt;=2000,950,(IF(G197&lt;=3000,1150,(IF(G197&lt;=8000,1550,(IF(G197&lt;=10000,1750,(IF(G197&lt;=18000,2050,(IF(G197&lt;=32000,2900,(IF(G197&lt;=40000,3600,4000)))))))))))))))</f>
        <v>600</v>
      </c>
      <c r="F197" s="5">
        <f>H197+I197+G198</f>
        <v>2100</v>
      </c>
      <c r="G197" s="6">
        <v>300</v>
      </c>
      <c r="H197" s="5">
        <f>IF(D198&lt;=315,1600,(IF(D198=355,1650,(IF(D198=400,1650,(IF(D198=450,1700,(IF(D198=500,1700,(IF(D198=560,1800,(IF(D198=630,2000,(IF(D198=710,2200,2500)))))))))))))))</f>
        <v>1600</v>
      </c>
      <c r="I197" s="5">
        <f>IF(H198=2,1500,(IF(H198=1,500,0)))</f>
        <v>500</v>
      </c>
      <c r="J197" s="156" t="s">
        <v>32</v>
      </c>
      <c r="K197" s="156">
        <v>2</v>
      </c>
      <c r="L197" s="157">
        <f>Q197*0.9</f>
        <v>64575</v>
      </c>
      <c r="M197" s="157">
        <f>L197*K197</f>
        <v>129150</v>
      </c>
      <c r="N197" s="157">
        <f>Q197*0.1</f>
        <v>7175</v>
      </c>
      <c r="O197" s="168">
        <f>N197*K197</f>
        <v>14350</v>
      </c>
      <c r="P197" s="168">
        <v>71750</v>
      </c>
      <c r="Q197" s="158">
        <f>CEILING((S197+T197+U197+V197+W197),250)</f>
        <v>71750</v>
      </c>
      <c r="R197" s="158">
        <v>450</v>
      </c>
      <c r="S197" s="158">
        <f>(D197*E197*3*10.76+D197*F197*2*10.76+E197*F197*2*10.76)*R197/(1000*1000)</f>
        <v>29633.040000000001</v>
      </c>
      <c r="T197" s="158">
        <f>F198*4*1050</f>
        <v>0</v>
      </c>
      <c r="U197" s="153">
        <f>IF(G197&lt;=2000,5000,(IF(G197&lt;=5000,8000,(IF(G197&lt;=10000,10000,(IF(G197&lt;=18000,15000,(IF(G197&lt;=40000,20000,10000)))))))))</f>
        <v>5000</v>
      </c>
      <c r="V197" s="153">
        <f>IF(X197=200,17150,(IF(X197=225,18150,(IF(X197=250,18900,(IF(X197=280,19150,(IF(X197=315,19650,(IF(X197=355,21900,(IF(X197=400,24400,0)))))))))))))+IF(X197=450,31000,(IF(X197=500,37450,(IF(X197=560,45650,(IF(X197=630,58900,(IF(X197=710,77950,0)))))))))+IF(X197=800,119650,(IF(X197=900,153300,(IF(X197=1000,178900,(IF(X197=1120,286500,(IF(X197=1250,394500,(IF(X197=1450,461500,0)))))))))))</f>
        <v>17150</v>
      </c>
      <c r="W197" s="158">
        <f>IF(E198=0.5,16600,(IF(E198=1,19050,(IF(E198=1.5,21750,(IF(E198=2,23600,(IF(E198=3,30000,(IF(E198=5,38000,0)))))))))))*1.2+IF(E198=7.5,52300,(IF(E198=10,59600,0)))*1.2+IF(E198=12.5,100350,(IF(E198=15,106000,(IF(E198=20,129150,(IF(E198=25,146050,(IF(E198=30,173600,(IF(E198=40,233900,(IF(E198=50,304650)))))))))))))*1.2</f>
        <v>19920</v>
      </c>
      <c r="X197" s="153">
        <f>IF(G197&lt;=5250,Z197,Y197)</f>
        <v>200</v>
      </c>
      <c r="Y197" s="153">
        <f>IF(G197&lt;=6750,450,(IF(G197&lt;=8500,500,(IF(G197&lt;=10750,560,(IF(G197&lt;=13500,630,(IF(G197&lt;=17000,710,(IF(G197&lt;=21500,800,(IF(G197&lt;=27000,900,(IF(G197&lt;=34000,1000,0)))))))))))))))</f>
        <v>450</v>
      </c>
      <c r="Z197" s="153">
        <f>IF(G197&lt;=1300,200,(IF(G197&lt;=1600,225,(IF(G197&lt;=2100,250,(IF(G197&lt;=2700,280,(IF(G197&lt;=3450,315,(IF(G197&lt;=4250,355,(IF(G197&lt;=5250,400,(IF(G197&lt;=6750,450,0)))))))))))))))</f>
        <v>200</v>
      </c>
      <c r="AA197" s="153">
        <f>IF(G197&lt;=2000,5000,(IF(G197&lt;=5000,8000,(IF(G197&lt;=10000,10000,(IF(G197&lt;=18000,15000,(IF(G197&lt;=40000,20000,10000)))))))))</f>
        <v>5000</v>
      </c>
      <c r="AB197" s="153">
        <f>IF(D197=950,2,(IF(D197=1150,3,(IF(D197=1550,4,(IF(D197=1750,5,(IF(D197=2050,6,(IF(D197=2900,8,(IF(D197=3600,10,1)))))))))))))</f>
        <v>1</v>
      </c>
      <c r="AC197" s="153">
        <f>IF(E197=950,2,(IF(E197=1100,2,(IF(E197=1250,3,(IF(E197=1550,4,(IF(E197=1750,5,(IF(E197=2050,6,(IF(E197=2900,8,(IF(E197=3600,10,1)))))))))))))))</f>
        <v>1</v>
      </c>
      <c r="AD197" s="153">
        <f>AC197*AB197</f>
        <v>1</v>
      </c>
      <c r="AE197" s="153">
        <v>150</v>
      </c>
      <c r="AF197" s="153">
        <f>CEILING((SQRT(G197/1000))*4*2*AE197*1.25*K197,100)</f>
        <v>1700</v>
      </c>
      <c r="AG197" s="153"/>
      <c r="AH197" s="153"/>
      <c r="AI197" s="153"/>
      <c r="AJ197" s="153"/>
      <c r="AK197" s="153"/>
      <c r="AL197" s="153">
        <f>AB197*AC197</f>
        <v>1</v>
      </c>
      <c r="AM197" s="152">
        <f>(G197*2/1300)</f>
        <v>0.46153846153846156</v>
      </c>
      <c r="AN197" s="152">
        <f>(G197*1/1100)</f>
        <v>0.27272727272727271</v>
      </c>
    </row>
    <row r="198" spans="3:40" ht="13.5" thickBot="1">
      <c r="C198" s="155"/>
      <c r="D198" s="5"/>
      <c r="E198" s="5">
        <v>0.5</v>
      </c>
      <c r="F198" s="5">
        <v>0</v>
      </c>
      <c r="G198" s="5">
        <v>0</v>
      </c>
      <c r="H198" s="5">
        <v>1</v>
      </c>
      <c r="I198" s="5">
        <v>0</v>
      </c>
      <c r="J198" s="156"/>
      <c r="K198" s="156"/>
      <c r="L198" s="157"/>
      <c r="M198" s="157"/>
      <c r="N198" s="157"/>
      <c r="O198" s="168"/>
      <c r="P198" s="168"/>
      <c r="Q198" s="158"/>
      <c r="R198" s="158"/>
      <c r="S198" s="158"/>
      <c r="T198" s="158"/>
      <c r="U198" s="153"/>
      <c r="V198" s="153"/>
      <c r="W198" s="158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  <c r="AH198" s="153"/>
      <c r="AI198" s="153"/>
      <c r="AJ198" s="153"/>
      <c r="AK198" s="153"/>
      <c r="AL198" s="153"/>
      <c r="AM198" s="152"/>
      <c r="AN198" s="152"/>
    </row>
    <row r="199" spans="3:40" ht="12.75" customHeight="1">
      <c r="C199" s="53" t="s">
        <v>70</v>
      </c>
      <c r="D199" s="54" t="s">
        <v>71</v>
      </c>
      <c r="E199" s="55"/>
      <c r="F199" s="55"/>
      <c r="G199" s="55"/>
      <c r="H199" s="55"/>
      <c r="I199" s="55"/>
      <c r="J199" s="66"/>
      <c r="K199" s="56"/>
      <c r="L199" s="56"/>
      <c r="M199" s="57"/>
      <c r="N199" s="57"/>
      <c r="O199" s="65"/>
      <c r="P199" s="65"/>
      <c r="Q199" s="13"/>
      <c r="R199" s="13"/>
      <c r="S199" s="13"/>
      <c r="T199" s="13"/>
      <c r="U199" s="13"/>
      <c r="V199" s="13"/>
      <c r="W199" s="158"/>
      <c r="AD199">
        <f>CEILING(SUM(AD75:AD184),50)</f>
        <v>300</v>
      </c>
      <c r="AF199">
        <f>SUM(AF75:AF184)</f>
        <v>92200</v>
      </c>
    </row>
    <row r="200" spans="3:40" ht="12.75" customHeight="1">
      <c r="C200" s="18">
        <v>1</v>
      </c>
      <c r="D200" s="189" t="s">
        <v>72</v>
      </c>
      <c r="E200" s="190"/>
      <c r="F200" s="190"/>
      <c r="G200" s="190"/>
      <c r="H200" s="190"/>
      <c r="I200" s="190"/>
      <c r="J200" s="22" t="s">
        <v>73</v>
      </c>
      <c r="K200" s="15">
        <f>CEILING(AF199*0.395,500)</f>
        <v>36500</v>
      </c>
      <c r="L200" s="69">
        <f>Q200*0.9</f>
        <v>104.58</v>
      </c>
      <c r="M200" s="15">
        <f>L200*K200</f>
        <v>3817170</v>
      </c>
      <c r="N200" s="16">
        <f>Q200*0.1</f>
        <v>11.620000000000001</v>
      </c>
      <c r="O200" s="20">
        <f>N200*K200</f>
        <v>424130.00000000006</v>
      </c>
      <c r="P200" s="20">
        <v>116.2</v>
      </c>
      <c r="Q200" s="20">
        <v>116.2</v>
      </c>
      <c r="R200" s="67"/>
      <c r="S200" s="67"/>
      <c r="T200" s="67"/>
      <c r="U200" s="67"/>
      <c r="V200" s="67"/>
      <c r="W200" s="158"/>
      <c r="AG200" s="188">
        <f t="shared" ref="AG200:AL200" si="5">CEILING(SUM(AG75:AG199),10)</f>
        <v>90</v>
      </c>
      <c r="AH200" s="188">
        <f t="shared" si="5"/>
        <v>260</v>
      </c>
      <c r="AI200" s="188">
        <f t="shared" si="5"/>
        <v>260</v>
      </c>
      <c r="AJ200" s="188">
        <f t="shared" si="5"/>
        <v>260</v>
      </c>
      <c r="AK200" s="188">
        <f t="shared" si="5"/>
        <v>190</v>
      </c>
      <c r="AL200" s="188">
        <f t="shared" si="5"/>
        <v>100</v>
      </c>
      <c r="AM200" s="191">
        <f>CEILING(SUM(AM75:AM184),10)</f>
        <v>250</v>
      </c>
      <c r="AN200" s="191">
        <f>CEILING(SUM(AN75:AN184),10)</f>
        <v>120</v>
      </c>
    </row>
    <row r="201" spans="3:40" ht="12.75" customHeight="1">
      <c r="C201" s="18"/>
      <c r="D201" s="24" t="s">
        <v>74</v>
      </c>
      <c r="E201" s="24"/>
      <c r="F201" s="24"/>
      <c r="G201" s="24"/>
      <c r="H201" s="24"/>
      <c r="I201" s="24"/>
      <c r="J201" s="22"/>
      <c r="K201" s="15"/>
      <c r="L201" s="69"/>
      <c r="M201" s="15"/>
      <c r="N201" s="16"/>
      <c r="O201" s="20"/>
      <c r="P201" s="20"/>
      <c r="Q201" s="20"/>
      <c r="R201" s="67"/>
      <c r="S201" s="67"/>
      <c r="T201" s="67"/>
      <c r="U201" s="67"/>
      <c r="V201" s="67"/>
      <c r="AG201" s="188"/>
      <c r="AH201" s="188"/>
      <c r="AI201" s="188"/>
      <c r="AJ201" s="188"/>
      <c r="AK201" s="188"/>
      <c r="AL201" s="188"/>
      <c r="AM201" s="191"/>
      <c r="AN201" s="191"/>
    </row>
    <row r="202" spans="3:40" ht="12.75" customHeight="1">
      <c r="C202" s="18"/>
      <c r="D202" s="24" t="s">
        <v>75</v>
      </c>
      <c r="E202" s="24"/>
      <c r="F202" s="24"/>
      <c r="G202" s="24"/>
      <c r="H202" s="24"/>
      <c r="I202" s="24"/>
      <c r="J202" s="22"/>
      <c r="K202" s="15"/>
      <c r="L202" s="69"/>
      <c r="M202" s="15"/>
      <c r="N202" s="16"/>
      <c r="O202" s="20"/>
      <c r="P202" s="20"/>
      <c r="Q202" s="20"/>
      <c r="R202" s="67"/>
      <c r="S202" s="67"/>
      <c r="T202" s="67"/>
      <c r="U202" s="67"/>
      <c r="V202" s="67"/>
      <c r="AG202" s="188"/>
      <c r="AH202" s="188"/>
      <c r="AI202" s="188"/>
      <c r="AJ202" s="188"/>
      <c r="AK202" s="188"/>
      <c r="AL202" s="188"/>
      <c r="AM202" s="191"/>
      <c r="AN202" s="191"/>
    </row>
    <row r="203" spans="3:40" ht="12.75" customHeight="1">
      <c r="C203" s="18"/>
      <c r="D203" s="24" t="s">
        <v>76</v>
      </c>
      <c r="E203" s="24"/>
      <c r="F203" s="24"/>
      <c r="G203" s="24"/>
      <c r="H203" s="24"/>
      <c r="I203" s="24"/>
      <c r="J203" s="22"/>
      <c r="K203" s="15"/>
      <c r="L203" s="69"/>
      <c r="M203" s="15"/>
      <c r="N203" s="16"/>
      <c r="O203" s="20"/>
      <c r="P203" s="20"/>
      <c r="Q203" s="20"/>
      <c r="R203" s="67"/>
      <c r="S203" s="67"/>
      <c r="T203" s="67"/>
      <c r="U203" s="67"/>
      <c r="V203" s="67"/>
      <c r="AG203" s="188"/>
      <c r="AH203" s="188"/>
      <c r="AI203" s="188"/>
      <c r="AJ203" s="188"/>
      <c r="AK203" s="188"/>
      <c r="AL203" s="188"/>
      <c r="AM203" s="191"/>
      <c r="AN203" s="191"/>
    </row>
    <row r="204" spans="3:40" ht="12.75" customHeight="1">
      <c r="C204" s="18">
        <v>2</v>
      </c>
      <c r="D204" s="189" t="s">
        <v>77</v>
      </c>
      <c r="E204" s="190"/>
      <c r="F204" s="190"/>
      <c r="G204" s="190"/>
      <c r="H204" s="190"/>
      <c r="I204" s="190"/>
      <c r="J204" s="22" t="s">
        <v>73</v>
      </c>
      <c r="K204" s="15">
        <f>CEILING(AF199*0.35,500)</f>
        <v>32500</v>
      </c>
      <c r="L204" s="69">
        <f>Q204*0.9</f>
        <v>112.95</v>
      </c>
      <c r="M204" s="15">
        <f>L204*K204</f>
        <v>3670875</v>
      </c>
      <c r="N204" s="16">
        <f>Q204*0.1</f>
        <v>12.55</v>
      </c>
      <c r="O204" s="20">
        <f>N204*K204</f>
        <v>407875</v>
      </c>
      <c r="P204" s="20">
        <v>125.5</v>
      </c>
      <c r="Q204" s="20">
        <v>125.5</v>
      </c>
      <c r="R204" s="67"/>
      <c r="S204" s="67"/>
      <c r="T204" s="67"/>
      <c r="U204" s="67"/>
      <c r="V204" s="67"/>
      <c r="AG204" s="188"/>
      <c r="AH204" s="188"/>
      <c r="AI204" s="188"/>
      <c r="AJ204" s="188"/>
      <c r="AK204" s="188"/>
      <c r="AL204" s="188"/>
      <c r="AM204" s="188"/>
      <c r="AN204" s="188"/>
    </row>
    <row r="205" spans="3:40" ht="12.75" customHeight="1">
      <c r="C205" s="18"/>
      <c r="D205" s="24" t="s">
        <v>74</v>
      </c>
      <c r="E205" s="24"/>
      <c r="F205" s="24"/>
      <c r="G205" s="24"/>
      <c r="H205" s="24"/>
      <c r="I205" s="24"/>
      <c r="J205" s="22"/>
      <c r="K205" s="15"/>
      <c r="L205" s="69"/>
      <c r="M205" s="15"/>
      <c r="N205" s="16"/>
      <c r="O205" s="20"/>
      <c r="P205" s="20"/>
      <c r="Q205" s="20"/>
      <c r="R205" s="67"/>
      <c r="S205" s="67"/>
      <c r="T205" s="67"/>
      <c r="U205" s="67"/>
      <c r="V205" s="67"/>
      <c r="AG205" s="82"/>
      <c r="AH205" s="82"/>
      <c r="AI205" s="82"/>
      <c r="AJ205" s="82"/>
      <c r="AK205" s="82"/>
      <c r="AL205" s="82"/>
      <c r="AM205" s="82"/>
      <c r="AN205" s="82"/>
    </row>
    <row r="206" spans="3:40" ht="12.75" customHeight="1">
      <c r="C206" s="18"/>
      <c r="D206" s="24" t="s">
        <v>75</v>
      </c>
      <c r="E206" s="24"/>
      <c r="F206" s="24"/>
      <c r="G206" s="24"/>
      <c r="H206" s="24"/>
      <c r="I206" s="24"/>
      <c r="J206" s="22"/>
      <c r="K206" s="15"/>
      <c r="L206" s="69"/>
      <c r="M206" s="15"/>
      <c r="N206" s="16"/>
      <c r="O206" s="20"/>
      <c r="P206" s="20"/>
      <c r="Q206" s="20"/>
      <c r="R206" s="67"/>
      <c r="S206" s="67"/>
      <c r="T206" s="67"/>
      <c r="U206" s="67"/>
      <c r="V206" s="67"/>
      <c r="AG206" s="82"/>
      <c r="AH206" s="82"/>
      <c r="AI206" s="82"/>
      <c r="AJ206" s="82"/>
      <c r="AK206" s="82"/>
      <c r="AL206" s="82"/>
      <c r="AM206" s="82"/>
      <c r="AN206" s="82"/>
    </row>
    <row r="207" spans="3:40" ht="12.75" customHeight="1" thickBot="1">
      <c r="C207" s="70"/>
      <c r="D207" s="24" t="s">
        <v>76</v>
      </c>
      <c r="E207" s="24"/>
      <c r="F207" s="24"/>
      <c r="G207" s="24"/>
      <c r="H207" s="24"/>
      <c r="I207" s="24"/>
      <c r="J207" s="72"/>
      <c r="K207" s="73"/>
      <c r="L207" s="93"/>
      <c r="M207" s="73"/>
      <c r="N207" s="89"/>
      <c r="O207" s="90"/>
      <c r="P207" s="90"/>
      <c r="Q207" s="20"/>
      <c r="R207" s="67"/>
      <c r="S207" s="67"/>
      <c r="T207" s="67"/>
      <c r="U207" s="67"/>
      <c r="V207" s="67"/>
      <c r="AG207" s="82"/>
      <c r="AH207" s="82"/>
      <c r="AI207" s="82"/>
      <c r="AJ207" s="82"/>
      <c r="AK207" s="82"/>
      <c r="AL207" s="82"/>
      <c r="AM207" s="82"/>
      <c r="AN207" s="82"/>
    </row>
    <row r="208" spans="3:40" ht="12.75" customHeight="1">
      <c r="C208" s="91">
        <v>3</v>
      </c>
      <c r="D208" s="189" t="s">
        <v>78</v>
      </c>
      <c r="E208" s="190"/>
      <c r="F208" s="190"/>
      <c r="G208" s="190"/>
      <c r="H208" s="190"/>
      <c r="I208" s="190"/>
      <c r="J208" s="75" t="s">
        <v>73</v>
      </c>
      <c r="K208" s="56">
        <f>CEILING(AF199*0.265,500)</f>
        <v>24500</v>
      </c>
      <c r="L208" s="92">
        <f>Q208*0.9</f>
        <v>121.32000000000001</v>
      </c>
      <c r="M208" s="56">
        <f>L208*K208</f>
        <v>2972340</v>
      </c>
      <c r="N208" s="57">
        <f>Q208*0.1</f>
        <v>13.480000000000002</v>
      </c>
      <c r="O208" s="65">
        <f>N208*K208</f>
        <v>330260.00000000006</v>
      </c>
      <c r="P208" s="65">
        <v>134.80000000000001</v>
      </c>
      <c r="Q208" s="20">
        <v>134.80000000000001</v>
      </c>
      <c r="R208" s="67"/>
      <c r="S208" s="67"/>
      <c r="T208" s="67"/>
      <c r="U208" s="67"/>
      <c r="V208" s="67"/>
      <c r="AG208" s="192" t="s">
        <v>79</v>
      </c>
      <c r="AH208" s="192" t="s">
        <v>80</v>
      </c>
      <c r="AI208" s="192" t="s">
        <v>81</v>
      </c>
      <c r="AJ208" s="192" t="s">
        <v>82</v>
      </c>
      <c r="AK208" s="192" t="s">
        <v>83</v>
      </c>
      <c r="AL208" s="192" t="s">
        <v>84</v>
      </c>
      <c r="AM208" s="192" t="s">
        <v>85</v>
      </c>
      <c r="AN208" s="192" t="s">
        <v>85</v>
      </c>
    </row>
    <row r="209" spans="3:40" ht="12.75" customHeight="1">
      <c r="C209" s="18"/>
      <c r="D209" s="24" t="s">
        <v>74</v>
      </c>
      <c r="E209" s="24"/>
      <c r="F209" s="24"/>
      <c r="G209" s="24"/>
      <c r="H209" s="24"/>
      <c r="I209" s="24"/>
      <c r="J209" s="22"/>
      <c r="K209" s="15"/>
      <c r="L209" s="69"/>
      <c r="M209" s="15"/>
      <c r="N209" s="16"/>
      <c r="O209" s="20"/>
      <c r="P209" s="20"/>
      <c r="Q209" s="67"/>
      <c r="R209" s="67"/>
      <c r="S209" s="67"/>
      <c r="T209" s="67"/>
      <c r="U209" s="67"/>
      <c r="V209" s="67"/>
      <c r="AG209" s="192"/>
      <c r="AH209" s="192"/>
      <c r="AI209" s="192"/>
      <c r="AJ209" s="192"/>
      <c r="AK209" s="192"/>
      <c r="AL209" s="192"/>
      <c r="AM209" s="192"/>
      <c r="AN209" s="192"/>
    </row>
    <row r="210" spans="3:40" ht="12.75" customHeight="1">
      <c r="C210" s="18"/>
      <c r="D210" s="24" t="s">
        <v>75</v>
      </c>
      <c r="E210" s="24"/>
      <c r="F210" s="24"/>
      <c r="G210" s="24"/>
      <c r="H210" s="24"/>
      <c r="I210" s="24"/>
      <c r="J210" s="22"/>
      <c r="K210" s="15"/>
      <c r="L210" s="69"/>
      <c r="M210" s="15"/>
      <c r="N210" s="16"/>
      <c r="O210" s="20"/>
      <c r="P210" s="20"/>
      <c r="Q210" s="67"/>
      <c r="R210" s="67"/>
      <c r="S210" s="67"/>
      <c r="T210" s="67"/>
      <c r="U210" s="67"/>
      <c r="V210" s="67"/>
      <c r="AG210" s="192"/>
      <c r="AH210" s="192"/>
      <c r="AI210" s="192"/>
      <c r="AJ210" s="192"/>
      <c r="AK210" s="192"/>
      <c r="AL210" s="192"/>
      <c r="AM210" s="192"/>
      <c r="AN210" s="192"/>
    </row>
    <row r="211" spans="3:40" ht="12.75" customHeight="1">
      <c r="C211" s="18"/>
      <c r="D211" s="24" t="s">
        <v>76</v>
      </c>
      <c r="E211" s="24"/>
      <c r="F211" s="24"/>
      <c r="G211" s="24"/>
      <c r="H211" s="24"/>
      <c r="I211" s="24"/>
      <c r="J211" s="22"/>
      <c r="K211" s="15"/>
      <c r="L211" s="69"/>
      <c r="M211" s="15"/>
      <c r="N211" s="16"/>
      <c r="O211" s="20"/>
      <c r="P211" s="20"/>
      <c r="Q211" s="67"/>
      <c r="R211" s="67"/>
      <c r="S211" s="67"/>
      <c r="T211" s="67"/>
      <c r="U211" s="67"/>
      <c r="V211" s="67"/>
      <c r="AG211" s="192"/>
      <c r="AH211" s="192"/>
      <c r="AI211" s="192"/>
      <c r="AJ211" s="192"/>
      <c r="AK211" s="192"/>
      <c r="AL211" s="192"/>
      <c r="AM211" s="192"/>
      <c r="AN211" s="192"/>
    </row>
    <row r="212" spans="3:40" ht="12.75" customHeight="1">
      <c r="C212" s="18">
        <v>4</v>
      </c>
      <c r="D212" s="24" t="s">
        <v>86</v>
      </c>
      <c r="E212" s="24"/>
      <c r="F212" s="24"/>
      <c r="G212" s="24"/>
      <c r="H212" s="24"/>
      <c r="I212" s="24"/>
      <c r="J212" s="22" t="s">
        <v>73</v>
      </c>
      <c r="K212" s="15">
        <f>CEILING(AF199*0.28*1,500)</f>
        <v>26000</v>
      </c>
      <c r="L212" s="69">
        <f>Q212*0.9</f>
        <v>64.8</v>
      </c>
      <c r="M212" s="15">
        <f>L212*K212</f>
        <v>1684800</v>
      </c>
      <c r="N212" s="16">
        <f>Q212*0.1</f>
        <v>7.2</v>
      </c>
      <c r="O212" s="20">
        <f>N212*K212</f>
        <v>187200</v>
      </c>
      <c r="P212" s="20">
        <v>72</v>
      </c>
      <c r="Q212" s="48">
        <v>72</v>
      </c>
      <c r="R212" s="67"/>
      <c r="S212" s="67"/>
      <c r="T212" s="67"/>
      <c r="U212" s="67"/>
      <c r="V212" s="67"/>
      <c r="AG212" s="192"/>
      <c r="AH212" s="192"/>
      <c r="AI212" s="192"/>
      <c r="AJ212" s="192"/>
      <c r="AK212" s="192"/>
      <c r="AL212" s="192"/>
      <c r="AM212" s="192"/>
      <c r="AN212" s="192"/>
    </row>
    <row r="213" spans="3:40" ht="12.75" customHeight="1">
      <c r="C213" s="18"/>
      <c r="D213" s="24" t="s">
        <v>87</v>
      </c>
      <c r="E213" s="24"/>
      <c r="F213" s="24"/>
      <c r="G213" s="24"/>
      <c r="H213" s="24"/>
      <c r="I213" s="24"/>
      <c r="J213" s="22"/>
      <c r="K213" s="15"/>
      <c r="L213" s="15"/>
      <c r="M213" s="15"/>
      <c r="N213" s="16"/>
      <c r="O213" s="20"/>
      <c r="P213" s="20"/>
      <c r="Q213" s="48"/>
      <c r="R213" s="67"/>
      <c r="S213" s="67"/>
      <c r="T213" s="67"/>
      <c r="U213" s="67"/>
      <c r="V213" s="67"/>
    </row>
    <row r="214" spans="3:40" ht="12.75" customHeight="1">
      <c r="C214" s="18">
        <v>5</v>
      </c>
      <c r="D214" s="24" t="s">
        <v>88</v>
      </c>
      <c r="E214" s="24"/>
      <c r="F214" s="24"/>
      <c r="G214" s="24"/>
      <c r="H214" s="24"/>
      <c r="I214" s="24"/>
      <c r="J214" s="22" t="s">
        <v>73</v>
      </c>
      <c r="K214" s="15">
        <f>CEILING(AF199*0.28*1,500)</f>
        <v>26000</v>
      </c>
      <c r="L214" s="69">
        <f>Q214*0.9</f>
        <v>72</v>
      </c>
      <c r="M214" s="15">
        <f>L214*K214</f>
        <v>1872000</v>
      </c>
      <c r="N214" s="16">
        <f>Q214*0.1</f>
        <v>8</v>
      </c>
      <c r="O214" s="20">
        <f>N214*K214</f>
        <v>208000</v>
      </c>
      <c r="P214" s="20">
        <v>80</v>
      </c>
      <c r="Q214" s="48">
        <v>80</v>
      </c>
      <c r="R214" s="67"/>
      <c r="S214" s="67"/>
      <c r="T214" s="67"/>
      <c r="U214" s="67"/>
      <c r="V214" s="67"/>
    </row>
    <row r="215" spans="3:40" ht="12.75" customHeight="1">
      <c r="C215" s="18"/>
      <c r="D215" s="24" t="s">
        <v>89</v>
      </c>
      <c r="E215" s="24"/>
      <c r="F215" s="24"/>
      <c r="G215" s="24"/>
      <c r="H215" s="24"/>
      <c r="I215" s="24"/>
      <c r="J215" s="22"/>
      <c r="K215" s="15"/>
      <c r="L215" s="15"/>
      <c r="M215" s="15"/>
      <c r="N215" s="16"/>
      <c r="O215" s="20"/>
      <c r="P215" s="20"/>
      <c r="Q215" s="48"/>
      <c r="R215" s="67"/>
      <c r="S215" s="67"/>
      <c r="T215" s="67"/>
      <c r="U215" s="67"/>
      <c r="V215" s="67"/>
    </row>
    <row r="216" spans="3:40" ht="12.75" customHeight="1">
      <c r="C216" s="18">
        <v>6</v>
      </c>
      <c r="D216" s="24" t="s">
        <v>90</v>
      </c>
      <c r="E216" s="24"/>
      <c r="F216" s="24"/>
      <c r="G216" s="24"/>
      <c r="H216" s="24"/>
      <c r="I216" s="24"/>
      <c r="J216" s="22" t="s">
        <v>73</v>
      </c>
      <c r="K216" s="15">
        <v>1550</v>
      </c>
      <c r="L216" s="69">
        <f>Q216*0.9</f>
        <v>990</v>
      </c>
      <c r="M216" s="15">
        <f>L216*K216</f>
        <v>1534500</v>
      </c>
      <c r="N216" s="16">
        <f>Q216*0.1</f>
        <v>110</v>
      </c>
      <c r="O216" s="20">
        <f>K216*N216</f>
        <v>170500</v>
      </c>
      <c r="P216" s="20">
        <v>1100</v>
      </c>
      <c r="Q216" s="48">
        <v>1100</v>
      </c>
      <c r="R216" s="67"/>
      <c r="S216" s="67"/>
      <c r="T216" s="67"/>
      <c r="U216" s="67"/>
      <c r="V216" s="67"/>
    </row>
    <row r="217" spans="3:40" ht="12.75" customHeight="1">
      <c r="C217" s="18"/>
      <c r="D217" s="24" t="s">
        <v>91</v>
      </c>
      <c r="E217" s="24"/>
      <c r="F217" s="24"/>
      <c r="G217" s="24"/>
      <c r="H217" s="24"/>
      <c r="I217" s="24"/>
      <c r="J217" s="22"/>
      <c r="K217" s="15"/>
      <c r="L217" s="15"/>
      <c r="M217" s="15"/>
      <c r="N217" s="16"/>
      <c r="O217" s="20"/>
      <c r="P217" s="20"/>
      <c r="Q217" s="48"/>
      <c r="R217" s="67"/>
      <c r="S217" s="67"/>
      <c r="T217" s="67"/>
      <c r="U217" s="67"/>
      <c r="V217" s="67"/>
    </row>
    <row r="218" spans="3:40" ht="12.75" customHeight="1">
      <c r="C218" s="18">
        <v>7</v>
      </c>
      <c r="D218" s="24" t="s">
        <v>92</v>
      </c>
      <c r="E218" s="24"/>
      <c r="F218" s="24"/>
      <c r="G218" s="24"/>
      <c r="H218" s="24"/>
      <c r="I218" s="24"/>
      <c r="J218" s="22" t="s">
        <v>73</v>
      </c>
      <c r="K218" s="69">
        <f>AN200</f>
        <v>120</v>
      </c>
      <c r="L218" s="69">
        <f>Q218*0.9</f>
        <v>1260</v>
      </c>
      <c r="M218" s="15">
        <f>L218*K218</f>
        <v>151200</v>
      </c>
      <c r="N218" s="16">
        <f>Q218*0.1</f>
        <v>140</v>
      </c>
      <c r="O218" s="20">
        <f>K218*N218</f>
        <v>16800</v>
      </c>
      <c r="P218" s="20">
        <v>1400</v>
      </c>
      <c r="Q218" s="48">
        <v>1400</v>
      </c>
      <c r="R218" s="67"/>
      <c r="S218" s="67"/>
      <c r="T218" s="67"/>
      <c r="U218" s="67"/>
      <c r="V218" s="67"/>
    </row>
    <row r="219" spans="3:40" ht="12.75" customHeight="1">
      <c r="C219" s="18"/>
      <c r="D219" s="24" t="s">
        <v>93</v>
      </c>
      <c r="E219" s="24"/>
      <c r="F219" s="24"/>
      <c r="G219" s="24"/>
      <c r="H219" s="24"/>
      <c r="I219" s="24"/>
      <c r="J219" s="22"/>
      <c r="K219" s="15"/>
      <c r="L219" s="15"/>
      <c r="M219" s="15"/>
      <c r="N219" s="16"/>
      <c r="O219" s="20"/>
      <c r="P219" s="20"/>
      <c r="Q219" s="48"/>
      <c r="R219" s="67"/>
      <c r="S219" s="67"/>
      <c r="T219" s="67"/>
      <c r="U219" s="67"/>
      <c r="V219" s="67"/>
    </row>
    <row r="220" spans="3:40" ht="12.75" customHeight="1">
      <c r="C220" s="18"/>
      <c r="D220" s="24" t="s">
        <v>94</v>
      </c>
      <c r="E220" s="24"/>
      <c r="F220" s="24"/>
      <c r="G220" s="24"/>
      <c r="H220" s="24"/>
      <c r="I220" s="24"/>
      <c r="J220" s="22"/>
      <c r="K220" s="15"/>
      <c r="L220" s="15"/>
      <c r="M220" s="15"/>
      <c r="N220" s="16"/>
      <c r="O220" s="20"/>
      <c r="P220" s="20"/>
      <c r="Q220" s="48"/>
      <c r="R220" s="67"/>
      <c r="S220" s="67"/>
      <c r="T220" s="67"/>
      <c r="U220" s="67"/>
      <c r="V220" s="67"/>
    </row>
    <row r="221" spans="3:40" ht="12.75" customHeight="1">
      <c r="C221" s="18">
        <v>7</v>
      </c>
      <c r="D221" s="24" t="s">
        <v>95</v>
      </c>
      <c r="E221" s="24"/>
      <c r="F221" s="24"/>
      <c r="G221" s="24"/>
      <c r="H221" s="24"/>
      <c r="I221" s="24"/>
      <c r="J221" s="22" t="s">
        <v>73</v>
      </c>
      <c r="K221" s="15">
        <v>750</v>
      </c>
      <c r="L221" s="69">
        <f>Q221*0.9</f>
        <v>675</v>
      </c>
      <c r="M221" s="15">
        <f>L221*K221</f>
        <v>506250</v>
      </c>
      <c r="N221" s="16">
        <f>Q221*0.1</f>
        <v>75</v>
      </c>
      <c r="O221" s="20">
        <f>K221*N221</f>
        <v>56250</v>
      </c>
      <c r="P221" s="20">
        <v>750</v>
      </c>
      <c r="Q221" s="48">
        <v>750</v>
      </c>
      <c r="R221" s="67"/>
      <c r="S221" s="67"/>
      <c r="T221" s="67"/>
      <c r="U221" s="67"/>
      <c r="V221" s="67"/>
    </row>
    <row r="222" spans="3:40" ht="12.75" customHeight="1">
      <c r="C222" s="18"/>
      <c r="D222" s="24" t="s">
        <v>96</v>
      </c>
      <c r="E222" s="24"/>
      <c r="F222" s="24"/>
      <c r="G222" s="24"/>
      <c r="H222" s="24"/>
      <c r="I222" s="24"/>
      <c r="J222" s="22"/>
      <c r="K222" s="15"/>
      <c r="L222" s="15"/>
      <c r="M222" s="15"/>
      <c r="N222" s="16"/>
      <c r="O222" s="20"/>
      <c r="P222" s="20"/>
      <c r="Q222" s="48"/>
      <c r="R222" s="67"/>
      <c r="S222" s="67"/>
      <c r="T222" s="67"/>
      <c r="U222" s="67"/>
      <c r="V222" s="67"/>
    </row>
    <row r="223" spans="3:40" ht="12.75" customHeight="1">
      <c r="C223" s="59"/>
      <c r="D223" s="24" t="s">
        <v>97</v>
      </c>
      <c r="E223" s="24"/>
      <c r="F223" s="24"/>
      <c r="G223" s="24"/>
      <c r="H223" s="24"/>
      <c r="I223" s="24"/>
      <c r="J223" s="22"/>
      <c r="K223" s="15"/>
      <c r="L223" s="15"/>
      <c r="M223" s="15"/>
      <c r="N223" s="16"/>
      <c r="O223" s="20"/>
      <c r="P223" s="20"/>
      <c r="Q223" s="48"/>
      <c r="R223" s="67"/>
      <c r="S223" s="67"/>
      <c r="T223" s="67"/>
      <c r="U223" s="67"/>
      <c r="V223" s="67"/>
    </row>
    <row r="224" spans="3:40" ht="12.75" customHeight="1">
      <c r="C224" s="58">
        <v>8</v>
      </c>
      <c r="D224" s="27" t="s">
        <v>98</v>
      </c>
      <c r="E224" s="27"/>
      <c r="F224" s="27"/>
      <c r="G224" s="27"/>
      <c r="H224" s="27"/>
      <c r="I224" s="27"/>
      <c r="J224" s="25" t="s">
        <v>73</v>
      </c>
      <c r="K224" s="84">
        <f>AM200+AN200</f>
        <v>370</v>
      </c>
      <c r="L224" s="69">
        <f>Q224*0.9</f>
        <v>1350</v>
      </c>
      <c r="M224" s="15">
        <f>L224*K224</f>
        <v>499500</v>
      </c>
      <c r="N224" s="16">
        <f>Q224*0.1</f>
        <v>150</v>
      </c>
      <c r="O224" s="20">
        <f>K224*N224</f>
        <v>55500</v>
      </c>
      <c r="P224" s="20">
        <v>1500</v>
      </c>
      <c r="Q224" s="47">
        <v>1500</v>
      </c>
      <c r="R224" s="67"/>
      <c r="S224" s="67"/>
      <c r="T224" s="67"/>
      <c r="U224" s="67"/>
      <c r="V224" s="67"/>
    </row>
    <row r="225" spans="3:22" ht="12.75" customHeight="1">
      <c r="C225" s="18"/>
      <c r="D225" s="24" t="s">
        <v>99</v>
      </c>
      <c r="E225" s="24"/>
      <c r="F225" s="24"/>
      <c r="G225" s="24"/>
      <c r="H225" s="24"/>
      <c r="I225" s="24"/>
      <c r="J225" s="22"/>
      <c r="K225" s="15"/>
      <c r="L225" s="15"/>
      <c r="M225" s="15"/>
      <c r="N225" s="16"/>
      <c r="O225" s="20"/>
      <c r="P225" s="20"/>
      <c r="Q225" s="48"/>
      <c r="R225" s="67"/>
      <c r="S225" s="67"/>
      <c r="T225" s="67"/>
      <c r="U225" s="67"/>
      <c r="V225" s="67"/>
    </row>
    <row r="226" spans="3:22" ht="12.75" customHeight="1">
      <c r="C226" s="18">
        <v>9</v>
      </c>
      <c r="D226" s="24" t="s">
        <v>100</v>
      </c>
      <c r="E226" s="24"/>
      <c r="F226" s="24"/>
      <c r="G226" s="24"/>
      <c r="H226" s="24"/>
      <c r="I226" s="24"/>
      <c r="J226" s="22" t="s">
        <v>73</v>
      </c>
      <c r="K226" s="15">
        <v>1500</v>
      </c>
      <c r="L226" s="69">
        <f>Q226*0.9</f>
        <v>2475</v>
      </c>
      <c r="M226" s="15">
        <f>L226*K226</f>
        <v>3712500</v>
      </c>
      <c r="N226" s="16">
        <f>Q226*0.1</f>
        <v>275</v>
      </c>
      <c r="O226" s="20">
        <f>K226*N226</f>
        <v>412500</v>
      </c>
      <c r="P226" s="20">
        <v>2750</v>
      </c>
      <c r="Q226" s="48">
        <v>2750</v>
      </c>
      <c r="R226" s="67"/>
      <c r="S226" s="67"/>
      <c r="T226" s="67"/>
      <c r="U226" s="67"/>
      <c r="V226" s="67"/>
    </row>
    <row r="227" spans="3:22" ht="12.75" customHeight="1">
      <c r="C227" s="18"/>
      <c r="D227" s="24" t="s">
        <v>101</v>
      </c>
      <c r="E227" s="24"/>
      <c r="F227" s="24"/>
      <c r="G227" s="24"/>
      <c r="H227" s="24"/>
      <c r="I227" s="24"/>
      <c r="J227" s="22"/>
      <c r="K227" s="15"/>
      <c r="L227" s="15"/>
      <c r="M227" s="15"/>
      <c r="N227" s="16"/>
      <c r="O227" s="20"/>
      <c r="P227" s="20"/>
      <c r="Q227" s="48"/>
      <c r="R227" s="67"/>
      <c r="S227" s="67"/>
      <c r="T227" s="67"/>
      <c r="U227" s="67"/>
      <c r="V227" s="67"/>
    </row>
    <row r="228" spans="3:22" ht="12.75" customHeight="1">
      <c r="C228" s="18"/>
      <c r="D228" s="24" t="s">
        <v>102</v>
      </c>
      <c r="E228" s="24"/>
      <c r="F228" s="24"/>
      <c r="G228" s="24"/>
      <c r="H228" s="24"/>
      <c r="I228" s="24"/>
      <c r="J228" s="22"/>
      <c r="K228" s="15"/>
      <c r="L228" s="15"/>
      <c r="M228" s="15"/>
      <c r="N228" s="16"/>
      <c r="O228" s="20"/>
      <c r="P228" s="20"/>
      <c r="Q228" s="48"/>
      <c r="R228" s="67"/>
      <c r="S228" s="67"/>
      <c r="T228" s="67"/>
      <c r="U228" s="67"/>
      <c r="V228" s="67"/>
    </row>
    <row r="229" spans="3:22" ht="12.75" customHeight="1">
      <c r="C229" s="18"/>
      <c r="D229" s="24" t="s">
        <v>103</v>
      </c>
      <c r="E229" s="24"/>
      <c r="F229" s="24"/>
      <c r="G229" s="24"/>
      <c r="H229" s="24"/>
      <c r="I229" s="24"/>
      <c r="J229" s="22"/>
      <c r="K229" s="15"/>
      <c r="L229" s="15"/>
      <c r="M229" s="15"/>
      <c r="N229" s="16"/>
      <c r="O229" s="20"/>
      <c r="P229" s="20"/>
      <c r="Q229" s="48"/>
      <c r="R229" s="67"/>
      <c r="S229" s="67"/>
      <c r="T229" s="67"/>
      <c r="U229" s="67"/>
      <c r="V229" s="67"/>
    </row>
    <row r="230" spans="3:22" ht="12.75" customHeight="1">
      <c r="C230" s="18">
        <v>10</v>
      </c>
      <c r="D230" s="24" t="s">
        <v>104</v>
      </c>
      <c r="E230" s="24"/>
      <c r="F230" s="24"/>
      <c r="G230" s="24"/>
      <c r="H230" s="24"/>
      <c r="I230" s="24"/>
      <c r="J230" s="22" t="s">
        <v>73</v>
      </c>
      <c r="K230" s="15">
        <v>2800</v>
      </c>
      <c r="L230" s="69">
        <f>Q230*0.9</f>
        <v>135</v>
      </c>
      <c r="M230" s="15">
        <f>L230*K230</f>
        <v>378000</v>
      </c>
      <c r="N230" s="16">
        <f>Q230*0.1</f>
        <v>15</v>
      </c>
      <c r="O230" s="20">
        <f>K230*N230</f>
        <v>42000</v>
      </c>
      <c r="P230" s="20">
        <v>150</v>
      </c>
      <c r="Q230" s="48">
        <v>150</v>
      </c>
      <c r="R230" s="67"/>
      <c r="S230" s="67"/>
      <c r="T230" s="67"/>
      <c r="U230" s="67"/>
      <c r="V230" s="67"/>
    </row>
    <row r="231" spans="3:22" ht="12.75" customHeight="1">
      <c r="C231" s="59"/>
      <c r="D231" s="36" t="s">
        <v>105</v>
      </c>
      <c r="E231" s="36"/>
      <c r="F231" s="36"/>
      <c r="G231" s="36"/>
      <c r="H231" s="36"/>
      <c r="I231" s="36"/>
      <c r="J231" s="26"/>
      <c r="K231" s="32"/>
      <c r="L231" s="32"/>
      <c r="M231" s="32"/>
      <c r="N231" s="120"/>
      <c r="O231" s="121"/>
      <c r="P231" s="121"/>
      <c r="Q231" s="49"/>
      <c r="R231" s="67"/>
      <c r="S231" s="67"/>
      <c r="T231" s="67"/>
      <c r="U231" s="67"/>
      <c r="V231" s="67"/>
    </row>
    <row r="232" spans="3:22" ht="12.75" customHeight="1">
      <c r="C232" s="122" t="s">
        <v>106</v>
      </c>
      <c r="D232" s="193" t="s">
        <v>107</v>
      </c>
      <c r="E232" s="193"/>
      <c r="F232" s="193"/>
      <c r="G232" s="193"/>
      <c r="H232" s="193"/>
      <c r="I232" s="193"/>
      <c r="J232" s="25"/>
      <c r="K232" s="29"/>
      <c r="L232" s="29"/>
      <c r="M232" s="29"/>
      <c r="N232" s="30"/>
      <c r="O232" s="60"/>
      <c r="P232" s="60"/>
      <c r="Q232" s="50"/>
      <c r="R232" s="68"/>
      <c r="S232" s="68"/>
      <c r="T232" s="68"/>
      <c r="U232" s="68"/>
      <c r="V232" s="68"/>
    </row>
    <row r="233" spans="3:22" ht="12.75" customHeight="1">
      <c r="C233" s="18">
        <v>1</v>
      </c>
      <c r="D233" s="24" t="s">
        <v>108</v>
      </c>
      <c r="E233" s="2"/>
      <c r="F233" s="2"/>
      <c r="G233" s="2"/>
      <c r="H233" s="2"/>
      <c r="I233" s="2"/>
      <c r="J233" s="22" t="s">
        <v>73</v>
      </c>
      <c r="K233" s="15">
        <f>AH200</f>
        <v>260</v>
      </c>
      <c r="L233" s="69">
        <f>Q233*0.9</f>
        <v>495</v>
      </c>
      <c r="M233" s="15">
        <f>L233*K233</f>
        <v>128700</v>
      </c>
      <c r="N233" s="16">
        <f>Q233*0.1</f>
        <v>55</v>
      </c>
      <c r="O233" s="20">
        <f>K233*N233</f>
        <v>14300</v>
      </c>
      <c r="P233" s="20">
        <v>550</v>
      </c>
      <c r="Q233" s="48">
        <v>550</v>
      </c>
      <c r="R233" s="67"/>
      <c r="S233" s="67"/>
      <c r="T233" s="67"/>
      <c r="U233" s="67"/>
      <c r="V233" s="67"/>
    </row>
    <row r="234" spans="3:22" ht="12.75" customHeight="1">
      <c r="C234" s="59"/>
      <c r="D234" s="36" t="s">
        <v>109</v>
      </c>
      <c r="E234" s="37"/>
      <c r="F234" s="37"/>
      <c r="G234" s="37"/>
      <c r="H234" s="37"/>
      <c r="I234" s="37"/>
      <c r="J234" s="26"/>
      <c r="K234" s="32"/>
      <c r="L234" s="32"/>
      <c r="M234" s="32"/>
      <c r="N234" s="31"/>
      <c r="O234" s="61"/>
      <c r="P234" s="61"/>
      <c r="Q234" s="51"/>
      <c r="R234" s="68"/>
      <c r="S234" s="68"/>
      <c r="T234" s="68"/>
      <c r="U234" s="68"/>
      <c r="V234" s="68"/>
    </row>
    <row r="235" spans="3:22" ht="12.75" customHeight="1">
      <c r="C235" s="58"/>
      <c r="D235" s="27" t="s">
        <v>110</v>
      </c>
      <c r="E235" s="28"/>
      <c r="F235" s="28"/>
      <c r="G235" s="28"/>
      <c r="H235" s="28"/>
      <c r="I235" s="28"/>
      <c r="J235" s="25"/>
      <c r="K235" s="29"/>
      <c r="L235" s="29"/>
      <c r="M235" s="29"/>
      <c r="N235" s="30"/>
      <c r="O235" s="60"/>
      <c r="P235" s="60"/>
      <c r="Q235" s="50"/>
      <c r="R235" s="68"/>
      <c r="S235" s="68"/>
      <c r="T235" s="68"/>
      <c r="U235" s="68"/>
      <c r="V235" s="68"/>
    </row>
    <row r="236" spans="3:22" ht="12.75" customHeight="1">
      <c r="C236" s="18">
        <v>2</v>
      </c>
      <c r="D236" s="24" t="s">
        <v>111</v>
      </c>
      <c r="E236" s="2"/>
      <c r="F236" s="2"/>
      <c r="G236" s="2"/>
      <c r="H236" s="2"/>
      <c r="I236" s="2"/>
      <c r="J236" s="22" t="s">
        <v>73</v>
      </c>
      <c r="K236" s="15">
        <f>AI200</f>
        <v>260</v>
      </c>
      <c r="L236" s="69">
        <f>Q236*0.9</f>
        <v>675</v>
      </c>
      <c r="M236" s="15">
        <f>L236*K236</f>
        <v>175500</v>
      </c>
      <c r="N236" s="16">
        <f>Q236*0.1</f>
        <v>75</v>
      </c>
      <c r="O236" s="20">
        <f>K236*N236</f>
        <v>19500</v>
      </c>
      <c r="P236" s="20">
        <v>750</v>
      </c>
      <c r="Q236" s="47">
        <v>750</v>
      </c>
      <c r="R236" s="67"/>
      <c r="S236" s="67"/>
      <c r="T236" s="67"/>
      <c r="U236" s="67"/>
      <c r="V236" s="67"/>
    </row>
    <row r="237" spans="3:22" ht="12.75" customHeight="1">
      <c r="C237" s="18"/>
      <c r="D237" s="24" t="s">
        <v>112</v>
      </c>
      <c r="E237" s="2"/>
      <c r="F237" s="2"/>
      <c r="G237" s="2"/>
      <c r="H237" s="2"/>
      <c r="I237" s="2"/>
      <c r="J237" s="22"/>
      <c r="K237" s="15"/>
      <c r="L237" s="15"/>
      <c r="M237" s="15"/>
      <c r="N237" s="21"/>
      <c r="O237" s="17"/>
      <c r="P237" s="17"/>
      <c r="Q237" s="52"/>
      <c r="R237" s="68"/>
      <c r="S237" s="68"/>
      <c r="T237" s="68"/>
      <c r="U237" s="68"/>
      <c r="V237" s="68"/>
    </row>
    <row r="238" spans="3:22" ht="12.75" customHeight="1">
      <c r="C238" s="18"/>
      <c r="D238" s="24" t="s">
        <v>113</v>
      </c>
      <c r="E238" s="2"/>
      <c r="F238" s="2"/>
      <c r="G238" s="2"/>
      <c r="H238" s="2"/>
      <c r="I238" s="2"/>
      <c r="J238" s="22"/>
      <c r="K238" s="15"/>
      <c r="L238" s="15"/>
      <c r="M238" s="15"/>
      <c r="N238" s="21"/>
      <c r="O238" s="17"/>
      <c r="P238" s="17"/>
      <c r="Q238" s="51"/>
      <c r="R238" s="68"/>
      <c r="S238" s="68"/>
      <c r="T238" s="68"/>
      <c r="U238" s="68"/>
      <c r="V238" s="68"/>
    </row>
    <row r="239" spans="3:22" ht="12.75" customHeight="1">
      <c r="C239" s="18">
        <v>3</v>
      </c>
      <c r="D239" s="24" t="s">
        <v>114</v>
      </c>
      <c r="E239" s="2"/>
      <c r="F239" s="2"/>
      <c r="G239" s="2"/>
      <c r="H239" s="2"/>
      <c r="I239" s="2"/>
      <c r="J239" s="22" t="s">
        <v>73</v>
      </c>
      <c r="K239" s="15">
        <f>AJ200</f>
        <v>260</v>
      </c>
      <c r="L239" s="69">
        <f>Q239*0.9</f>
        <v>765</v>
      </c>
      <c r="M239" s="15">
        <f>L239*K239</f>
        <v>198900</v>
      </c>
      <c r="N239" s="16">
        <f>Q239*0.1</f>
        <v>85</v>
      </c>
      <c r="O239" s="20">
        <f>K239*N239</f>
        <v>22100</v>
      </c>
      <c r="P239" s="20">
        <v>850</v>
      </c>
      <c r="Q239" s="47">
        <v>850</v>
      </c>
      <c r="R239" s="67"/>
      <c r="S239" s="67"/>
      <c r="T239" s="67"/>
      <c r="U239" s="67"/>
      <c r="V239" s="67"/>
    </row>
    <row r="240" spans="3:22" ht="12.75" customHeight="1">
      <c r="C240" s="18"/>
      <c r="D240" s="24" t="s">
        <v>112</v>
      </c>
      <c r="E240" s="2"/>
      <c r="F240" s="2"/>
      <c r="G240" s="2"/>
      <c r="H240" s="2"/>
      <c r="I240" s="2"/>
      <c r="J240" s="22"/>
      <c r="K240" s="15"/>
      <c r="L240" s="15"/>
      <c r="M240" s="15"/>
      <c r="N240" s="21"/>
      <c r="O240" s="17"/>
      <c r="P240" s="17"/>
      <c r="Q240" s="52"/>
      <c r="R240" s="68"/>
      <c r="S240" s="68"/>
      <c r="T240" s="68"/>
      <c r="U240" s="68"/>
      <c r="V240" s="68"/>
    </row>
    <row r="241" spans="3:22" ht="12.75" customHeight="1">
      <c r="C241" s="18"/>
      <c r="D241" s="24" t="s">
        <v>115</v>
      </c>
      <c r="E241" s="2"/>
      <c r="F241" s="2"/>
      <c r="G241" s="2"/>
      <c r="H241" s="2"/>
      <c r="I241" s="2"/>
      <c r="J241" s="22"/>
      <c r="K241" s="15"/>
      <c r="L241" s="15"/>
      <c r="M241" s="15"/>
      <c r="N241" s="21"/>
      <c r="O241" s="17"/>
      <c r="P241" s="17"/>
      <c r="Q241" s="51"/>
      <c r="R241" s="68"/>
      <c r="S241" s="68"/>
      <c r="T241" s="68"/>
      <c r="U241" s="68"/>
      <c r="V241" s="68"/>
    </row>
    <row r="242" spans="3:22" ht="12.75" customHeight="1">
      <c r="C242" s="18">
        <v>4</v>
      </c>
      <c r="D242" s="24" t="s">
        <v>116</v>
      </c>
      <c r="E242" s="2"/>
      <c r="F242" s="2"/>
      <c r="G242" s="2"/>
      <c r="H242" s="2"/>
      <c r="I242" s="2"/>
      <c r="J242" s="22" t="s">
        <v>73</v>
      </c>
      <c r="K242" s="15">
        <v>50</v>
      </c>
      <c r="L242" s="69">
        <f>Q242*0.9</f>
        <v>450</v>
      </c>
      <c r="M242" s="15">
        <f>L242*K242</f>
        <v>22500</v>
      </c>
      <c r="N242" s="16">
        <f>Q242*0.1</f>
        <v>50</v>
      </c>
      <c r="O242" s="20">
        <f>K242*N242</f>
        <v>2500</v>
      </c>
      <c r="P242" s="20">
        <v>500</v>
      </c>
      <c r="Q242" s="48">
        <v>500</v>
      </c>
      <c r="R242" s="67"/>
      <c r="S242" s="67"/>
      <c r="T242" s="67"/>
      <c r="U242" s="67"/>
      <c r="V242" s="67"/>
    </row>
    <row r="243" spans="3:22" ht="12.75" customHeight="1">
      <c r="C243" s="18"/>
      <c r="D243" s="24" t="s">
        <v>112</v>
      </c>
      <c r="E243" s="2"/>
      <c r="F243" s="2"/>
      <c r="G243" s="2"/>
      <c r="H243" s="2"/>
      <c r="I243" s="2"/>
      <c r="J243" s="22"/>
      <c r="K243" s="15"/>
      <c r="L243" s="15"/>
      <c r="M243" s="15"/>
      <c r="N243" s="21"/>
      <c r="O243" s="17"/>
      <c r="P243" s="17"/>
      <c r="Q243" s="52"/>
      <c r="R243" s="68"/>
      <c r="S243" s="68"/>
      <c r="T243" s="68"/>
      <c r="U243" s="68"/>
      <c r="V243" s="68"/>
    </row>
    <row r="244" spans="3:22" ht="12.75" customHeight="1">
      <c r="C244" s="18"/>
      <c r="D244" s="24" t="s">
        <v>117</v>
      </c>
      <c r="E244" s="2"/>
      <c r="F244" s="2"/>
      <c r="G244" s="2"/>
      <c r="H244" s="2"/>
      <c r="I244" s="2"/>
      <c r="J244" s="22"/>
      <c r="K244" s="15"/>
      <c r="L244" s="15"/>
      <c r="M244" s="15"/>
      <c r="N244" s="21"/>
      <c r="O244" s="17"/>
      <c r="P244" s="17"/>
      <c r="Q244" s="52"/>
      <c r="R244" s="68"/>
      <c r="S244" s="68"/>
      <c r="T244" s="68"/>
      <c r="U244" s="68"/>
      <c r="V244" s="68"/>
    </row>
    <row r="245" spans="3:22" ht="12.75" customHeight="1">
      <c r="C245" s="18">
        <v>5</v>
      </c>
      <c r="D245" s="24" t="s">
        <v>116</v>
      </c>
      <c r="E245" s="2"/>
      <c r="F245" s="2"/>
      <c r="G245" s="2"/>
      <c r="H245" s="2"/>
      <c r="I245" s="2"/>
      <c r="J245" s="22" t="s">
        <v>73</v>
      </c>
      <c r="K245" s="15">
        <f>AL200</f>
        <v>100</v>
      </c>
      <c r="L245" s="69">
        <f>Q245*0.9</f>
        <v>450</v>
      </c>
      <c r="M245" s="15">
        <f>L245*K245</f>
        <v>45000</v>
      </c>
      <c r="N245" s="16">
        <f>Q245*0.1</f>
        <v>50</v>
      </c>
      <c r="O245" s="20">
        <f>K245*N245</f>
        <v>5000</v>
      </c>
      <c r="P245" s="20">
        <v>500</v>
      </c>
      <c r="Q245" s="48">
        <v>500</v>
      </c>
      <c r="R245" s="67"/>
      <c r="S245" s="67"/>
      <c r="T245" s="67"/>
      <c r="U245" s="67"/>
      <c r="V245" s="67"/>
    </row>
    <row r="246" spans="3:22" ht="12.75" customHeight="1">
      <c r="C246" s="18"/>
      <c r="D246" s="24" t="s">
        <v>112</v>
      </c>
      <c r="E246" s="2"/>
      <c r="F246" s="2"/>
      <c r="G246" s="2"/>
      <c r="H246" s="2"/>
      <c r="I246" s="2"/>
      <c r="J246" s="22"/>
      <c r="K246" s="15"/>
      <c r="L246" s="15"/>
      <c r="M246" s="15"/>
      <c r="N246" s="21"/>
      <c r="O246" s="17"/>
      <c r="P246" s="17"/>
      <c r="Q246" s="52"/>
      <c r="R246" s="68"/>
      <c r="S246" s="68"/>
      <c r="T246" s="68"/>
      <c r="U246" s="68"/>
      <c r="V246" s="68"/>
    </row>
    <row r="247" spans="3:22" ht="12.75" customHeight="1">
      <c r="C247" s="18"/>
      <c r="D247" s="24" t="s">
        <v>118</v>
      </c>
      <c r="E247" s="2"/>
      <c r="F247" s="2"/>
      <c r="G247" s="2"/>
      <c r="H247" s="2"/>
      <c r="I247" s="2"/>
      <c r="J247" s="22"/>
      <c r="K247" s="15"/>
      <c r="L247" s="15"/>
      <c r="M247" s="15"/>
      <c r="N247" s="21"/>
      <c r="O247" s="17"/>
      <c r="P247" s="17"/>
      <c r="Q247" s="52"/>
      <c r="R247" s="68"/>
      <c r="S247" s="68"/>
      <c r="T247" s="68"/>
      <c r="U247" s="68"/>
      <c r="V247" s="68"/>
    </row>
    <row r="248" spans="3:22" ht="12.75" customHeight="1">
      <c r="C248" s="18">
        <v>6</v>
      </c>
      <c r="D248" s="24" t="s">
        <v>119</v>
      </c>
      <c r="E248" s="2"/>
      <c r="F248" s="2"/>
      <c r="G248" s="2"/>
      <c r="H248" s="2"/>
      <c r="I248" s="2"/>
      <c r="J248" s="22" t="s">
        <v>73</v>
      </c>
      <c r="K248" s="15">
        <f>AK200</f>
        <v>190</v>
      </c>
      <c r="L248" s="69">
        <f>Q248*0.7</f>
        <v>2275</v>
      </c>
      <c r="M248" s="15">
        <f>L248*K248</f>
        <v>432250</v>
      </c>
      <c r="N248" s="16">
        <f>Q248*0.3</f>
        <v>975</v>
      </c>
      <c r="O248" s="20">
        <f>K248*N248</f>
        <v>185250</v>
      </c>
      <c r="P248" s="20">
        <v>3250</v>
      </c>
      <c r="Q248" s="48">
        <v>3250</v>
      </c>
      <c r="R248" s="68"/>
      <c r="S248" s="68"/>
      <c r="T248" s="68"/>
      <c r="U248" s="68"/>
      <c r="V248" s="68"/>
    </row>
    <row r="249" spans="3:22" ht="12.75" customHeight="1">
      <c r="C249" s="18"/>
      <c r="D249" s="24" t="s">
        <v>120</v>
      </c>
      <c r="E249" s="2"/>
      <c r="F249" s="2"/>
      <c r="G249" s="2"/>
      <c r="H249" s="2"/>
      <c r="I249" s="2"/>
      <c r="J249" s="22"/>
      <c r="K249" s="15"/>
      <c r="L249" s="15"/>
      <c r="M249" s="15"/>
      <c r="N249" s="21"/>
      <c r="O249" s="17"/>
      <c r="P249" s="17"/>
      <c r="Q249" s="52"/>
      <c r="R249" s="68"/>
      <c r="S249" s="68"/>
      <c r="T249" s="68"/>
      <c r="U249" s="68"/>
      <c r="V249" s="68"/>
    </row>
    <row r="250" spans="3:22" ht="12.75" customHeight="1">
      <c r="C250" s="18">
        <v>7</v>
      </c>
      <c r="D250" s="24" t="s">
        <v>108</v>
      </c>
      <c r="E250" s="2"/>
      <c r="F250" s="2"/>
      <c r="G250" s="2"/>
      <c r="H250" s="2"/>
      <c r="I250" s="2"/>
      <c r="J250" s="22" t="s">
        <v>73</v>
      </c>
      <c r="K250" s="15">
        <v>700</v>
      </c>
      <c r="L250" s="69">
        <f>Q250*0.9</f>
        <v>360</v>
      </c>
      <c r="M250" s="15">
        <f>L250*K250</f>
        <v>252000</v>
      </c>
      <c r="N250" s="16">
        <f>Q250*0.1</f>
        <v>40</v>
      </c>
      <c r="O250" s="20">
        <f>K250*N250</f>
        <v>28000</v>
      </c>
      <c r="P250" s="20">
        <v>400</v>
      </c>
      <c r="Q250" s="52">
        <v>400</v>
      </c>
      <c r="R250" s="68"/>
      <c r="S250" s="68"/>
      <c r="T250" s="68"/>
      <c r="U250" s="68"/>
      <c r="V250" s="68"/>
    </row>
    <row r="251" spans="3:22" ht="12.75" customHeight="1">
      <c r="C251" s="18"/>
      <c r="D251" s="24" t="s">
        <v>112</v>
      </c>
      <c r="E251" s="2"/>
      <c r="F251" s="2"/>
      <c r="G251" s="2"/>
      <c r="H251" s="2"/>
      <c r="I251" s="2"/>
      <c r="J251" s="22"/>
      <c r="K251" s="15"/>
      <c r="L251" s="15"/>
      <c r="M251" s="15"/>
      <c r="N251" s="21"/>
      <c r="O251" s="17"/>
      <c r="P251" s="17"/>
      <c r="Q251" s="52"/>
      <c r="R251" s="68"/>
      <c r="S251" s="68"/>
      <c r="T251" s="68"/>
      <c r="U251" s="68"/>
      <c r="V251" s="68"/>
    </row>
    <row r="252" spans="3:22" ht="12.75" customHeight="1">
      <c r="C252" s="18"/>
      <c r="D252" s="24" t="s">
        <v>121</v>
      </c>
      <c r="E252" s="2"/>
      <c r="F252" s="2"/>
      <c r="G252" s="2"/>
      <c r="H252" s="2"/>
      <c r="I252" s="2"/>
      <c r="J252" s="22"/>
      <c r="K252" s="15"/>
      <c r="L252" s="15"/>
      <c r="M252" s="15"/>
      <c r="N252" s="21"/>
      <c r="O252" s="17"/>
      <c r="P252" s="17"/>
      <c r="Q252" s="52"/>
      <c r="R252" s="68"/>
      <c r="S252" s="68"/>
      <c r="T252" s="68"/>
      <c r="U252" s="68"/>
      <c r="V252" s="68"/>
    </row>
    <row r="253" spans="3:22" ht="12.75" customHeight="1">
      <c r="C253" s="18"/>
      <c r="D253" s="24" t="s">
        <v>122</v>
      </c>
      <c r="E253" s="2"/>
      <c r="F253" s="2"/>
      <c r="G253" s="2"/>
      <c r="H253" s="2"/>
      <c r="I253" s="2"/>
      <c r="J253" s="22"/>
      <c r="K253" s="15"/>
      <c r="L253" s="15"/>
      <c r="M253" s="15"/>
      <c r="N253" s="21"/>
      <c r="O253" s="17"/>
      <c r="P253" s="17"/>
      <c r="Q253" s="52"/>
      <c r="R253" s="68"/>
      <c r="S253" s="68"/>
      <c r="T253" s="68"/>
      <c r="U253" s="68"/>
      <c r="V253" s="68"/>
    </row>
    <row r="254" spans="3:22" ht="12.75" customHeight="1">
      <c r="C254" s="18">
        <v>8</v>
      </c>
      <c r="D254" s="24" t="s">
        <v>123</v>
      </c>
      <c r="E254" s="2"/>
      <c r="F254" s="2"/>
      <c r="G254" s="2"/>
      <c r="H254" s="2"/>
      <c r="I254" s="2"/>
      <c r="J254" s="22" t="s">
        <v>73</v>
      </c>
      <c r="K254" s="15">
        <v>500</v>
      </c>
      <c r="L254" s="69">
        <f>Q254*0.9</f>
        <v>405</v>
      </c>
      <c r="M254" s="15">
        <f>L254*K254</f>
        <v>202500</v>
      </c>
      <c r="N254" s="16">
        <f>Q254*0.1</f>
        <v>45</v>
      </c>
      <c r="O254" s="20">
        <f>K254*N254</f>
        <v>22500</v>
      </c>
      <c r="P254" s="20">
        <v>450</v>
      </c>
      <c r="Q254" s="52">
        <v>450</v>
      </c>
      <c r="R254" s="68"/>
      <c r="S254" s="68"/>
      <c r="T254" s="68"/>
      <c r="U254" s="68"/>
      <c r="V254" s="68"/>
    </row>
    <row r="255" spans="3:22" ht="12.75" customHeight="1">
      <c r="C255" s="18"/>
      <c r="D255" s="24" t="s">
        <v>124</v>
      </c>
      <c r="E255" s="2"/>
      <c r="F255" s="2"/>
      <c r="G255" s="2"/>
      <c r="H255" s="2"/>
      <c r="I255" s="2"/>
      <c r="J255" s="22"/>
      <c r="K255" s="15"/>
      <c r="L255" s="15"/>
      <c r="M255" s="15"/>
      <c r="N255" s="21"/>
      <c r="O255" s="17"/>
      <c r="P255" s="17"/>
      <c r="Q255" s="52"/>
      <c r="R255" s="68"/>
      <c r="S255" s="68"/>
      <c r="T255" s="68"/>
      <c r="U255" s="68"/>
      <c r="V255" s="68"/>
    </row>
    <row r="256" spans="3:22" ht="12.75" customHeight="1">
      <c r="C256" s="18"/>
      <c r="D256" s="24" t="s">
        <v>125</v>
      </c>
      <c r="E256" s="2"/>
      <c r="F256" s="2"/>
      <c r="G256" s="2"/>
      <c r="H256" s="2"/>
      <c r="I256" s="2"/>
      <c r="J256" s="22"/>
      <c r="K256" s="15"/>
      <c r="L256" s="15"/>
      <c r="M256" s="15"/>
      <c r="N256" s="21"/>
      <c r="O256" s="17"/>
      <c r="P256" s="17"/>
      <c r="Q256" s="52"/>
      <c r="R256" s="68"/>
      <c r="S256" s="68"/>
      <c r="T256" s="68"/>
      <c r="U256" s="68"/>
      <c r="V256" s="68"/>
    </row>
    <row r="257" spans="3:22" ht="12.75" customHeight="1" thickBot="1">
      <c r="C257" s="70"/>
      <c r="D257" s="24" t="s">
        <v>126</v>
      </c>
      <c r="E257" s="71"/>
      <c r="F257" s="71"/>
      <c r="G257" s="71"/>
      <c r="H257" s="71"/>
      <c r="I257" s="71"/>
      <c r="J257" s="72"/>
      <c r="K257" s="73"/>
      <c r="L257" s="73"/>
      <c r="M257" s="73"/>
      <c r="N257" s="64"/>
      <c r="O257" s="74"/>
      <c r="P257" s="74"/>
      <c r="Q257" s="52"/>
      <c r="R257" s="68"/>
      <c r="S257" s="68"/>
      <c r="T257" s="68"/>
      <c r="U257" s="68"/>
      <c r="V257" s="68"/>
    </row>
    <row r="258" spans="3:22" ht="12.75" customHeight="1">
      <c r="C258" s="53" t="s">
        <v>127</v>
      </c>
      <c r="D258" s="54" t="s">
        <v>128</v>
      </c>
      <c r="E258" s="54"/>
      <c r="F258" s="54"/>
      <c r="G258" s="54"/>
      <c r="H258" s="54"/>
      <c r="I258" s="54"/>
      <c r="J258" s="75"/>
      <c r="K258" s="56"/>
      <c r="L258" s="56"/>
      <c r="M258" s="56"/>
      <c r="N258" s="76"/>
      <c r="O258" s="77"/>
      <c r="P258" s="77"/>
      <c r="Q258" s="50"/>
      <c r="R258" s="68"/>
      <c r="S258" s="68"/>
      <c r="T258" s="68"/>
      <c r="U258" s="68"/>
      <c r="V258" s="68"/>
    </row>
    <row r="259" spans="3:22" ht="12.75" customHeight="1">
      <c r="C259" s="18">
        <v>1</v>
      </c>
      <c r="D259" s="24" t="s">
        <v>129</v>
      </c>
      <c r="E259" s="24"/>
      <c r="F259" s="24"/>
      <c r="G259" s="24"/>
      <c r="H259" s="24"/>
      <c r="I259" s="35"/>
      <c r="J259" s="15" t="s">
        <v>32</v>
      </c>
      <c r="K259" s="15">
        <v>36</v>
      </c>
      <c r="L259" s="101">
        <f>Q259*0.9</f>
        <v>6750</v>
      </c>
      <c r="M259" s="15">
        <f>L259*K259</f>
        <v>243000</v>
      </c>
      <c r="N259" s="16">
        <f>Q259*0.1</f>
        <v>750</v>
      </c>
      <c r="O259" s="20">
        <f>K259*N259</f>
        <v>27000</v>
      </c>
      <c r="P259" s="20">
        <v>7500</v>
      </c>
      <c r="Q259" s="102">
        <v>7500</v>
      </c>
      <c r="R259" s="68"/>
      <c r="S259" s="68"/>
      <c r="T259" s="68"/>
      <c r="U259" s="68"/>
      <c r="V259" s="68"/>
    </row>
    <row r="260" spans="3:22" ht="12.75" customHeight="1">
      <c r="C260" s="18"/>
      <c r="D260" s="24" t="s">
        <v>130</v>
      </c>
      <c r="E260" s="24"/>
      <c r="F260" s="24"/>
      <c r="G260" s="24"/>
      <c r="H260" s="24"/>
      <c r="I260" s="35"/>
      <c r="J260" s="15"/>
      <c r="K260" s="15"/>
      <c r="L260" s="22"/>
      <c r="M260" s="15"/>
      <c r="N260" s="16"/>
      <c r="O260" s="20"/>
      <c r="P260" s="20"/>
      <c r="R260" s="68"/>
      <c r="S260" s="68"/>
      <c r="T260" s="68"/>
      <c r="U260" s="68"/>
      <c r="V260" s="68"/>
    </row>
    <row r="261" spans="3:22" ht="12.75" customHeight="1">
      <c r="C261" s="18">
        <v>2</v>
      </c>
      <c r="D261" s="24" t="s">
        <v>131</v>
      </c>
      <c r="E261" s="24"/>
      <c r="F261" s="24"/>
      <c r="G261" s="24"/>
      <c r="H261" s="24"/>
      <c r="I261" s="35"/>
      <c r="J261" s="15" t="s">
        <v>32</v>
      </c>
      <c r="K261" s="15">
        <v>56</v>
      </c>
      <c r="L261" s="101">
        <f>Q261*0.9</f>
        <v>6750</v>
      </c>
      <c r="M261" s="15">
        <f>L261*K261</f>
        <v>378000</v>
      </c>
      <c r="N261" s="16">
        <f>Q261*0.1</f>
        <v>750</v>
      </c>
      <c r="O261" s="20">
        <f>K261*N261</f>
        <v>42000</v>
      </c>
      <c r="P261" s="20">
        <v>7500</v>
      </c>
      <c r="Q261" s="102">
        <v>7500</v>
      </c>
      <c r="R261" s="68"/>
      <c r="S261" s="68"/>
      <c r="T261" s="68"/>
      <c r="U261" s="68"/>
      <c r="V261" s="68"/>
    </row>
    <row r="262" spans="3:22" ht="12.75" customHeight="1">
      <c r="C262" s="18"/>
      <c r="D262" s="24" t="s">
        <v>132</v>
      </c>
      <c r="E262" s="24"/>
      <c r="F262" s="24"/>
      <c r="G262" s="24"/>
      <c r="H262" s="24"/>
      <c r="I262" s="35"/>
      <c r="J262" s="15"/>
      <c r="K262" s="15"/>
      <c r="L262" s="22"/>
      <c r="M262" s="15"/>
      <c r="N262" s="16"/>
      <c r="O262" s="20"/>
      <c r="P262" s="20"/>
      <c r="R262" s="68"/>
      <c r="S262" s="68"/>
      <c r="T262" s="68"/>
      <c r="U262" s="68"/>
      <c r="V262" s="68"/>
    </row>
    <row r="263" spans="3:22" ht="12.75" customHeight="1">
      <c r="C263" s="18">
        <v>3</v>
      </c>
      <c r="D263" s="24" t="s">
        <v>133</v>
      </c>
      <c r="E263" s="24"/>
      <c r="F263" s="24"/>
      <c r="G263" s="24"/>
      <c r="H263" s="24"/>
      <c r="I263" s="35"/>
      <c r="J263" s="15" t="s">
        <v>32</v>
      </c>
      <c r="K263" s="15">
        <v>92</v>
      </c>
      <c r="L263" s="101">
        <f>Q263*0.9</f>
        <v>3600</v>
      </c>
      <c r="M263" s="15">
        <f>L263*K263</f>
        <v>331200</v>
      </c>
      <c r="N263" s="16">
        <f>Q263*0.1</f>
        <v>400</v>
      </c>
      <c r="O263" s="20">
        <f>K263*N263</f>
        <v>36800</v>
      </c>
      <c r="P263" s="20">
        <v>4000</v>
      </c>
      <c r="Q263" s="102">
        <v>4000</v>
      </c>
      <c r="R263" s="68"/>
      <c r="S263" s="68"/>
      <c r="T263" s="68"/>
      <c r="U263" s="68"/>
      <c r="V263" s="68"/>
    </row>
    <row r="264" spans="3:22" ht="12.75" customHeight="1" thickBot="1">
      <c r="C264" s="70"/>
      <c r="D264" s="88" t="s">
        <v>134</v>
      </c>
      <c r="E264" s="88"/>
      <c r="F264" s="88"/>
      <c r="G264" s="88"/>
      <c r="H264" s="88"/>
      <c r="I264" s="103"/>
      <c r="J264" s="73"/>
      <c r="K264" s="73"/>
      <c r="L264" s="72"/>
      <c r="M264" s="73"/>
      <c r="N264" s="89"/>
      <c r="O264" s="90"/>
      <c r="P264" s="90"/>
      <c r="Q264" s="102">
        <v>4000</v>
      </c>
      <c r="R264" s="68"/>
      <c r="S264" s="68"/>
      <c r="T264" s="68"/>
      <c r="U264" s="68"/>
      <c r="V264" s="68"/>
    </row>
    <row r="265" spans="3:22" ht="12.75" customHeight="1">
      <c r="C265" s="18">
        <v>4</v>
      </c>
      <c r="D265" s="96" t="s">
        <v>135</v>
      </c>
      <c r="E265" s="24"/>
      <c r="F265" s="24"/>
      <c r="G265" s="24"/>
      <c r="H265" s="24"/>
      <c r="I265" s="24"/>
      <c r="J265" s="22" t="s">
        <v>32</v>
      </c>
      <c r="K265" s="15">
        <v>36</v>
      </c>
      <c r="L265" s="69">
        <f>Q265*0.9</f>
        <v>67500</v>
      </c>
      <c r="M265" s="15">
        <f>L265*K265</f>
        <v>2430000</v>
      </c>
      <c r="N265" s="16">
        <f>Q265*0.1</f>
        <v>7500</v>
      </c>
      <c r="O265" s="20">
        <f>K265*N265</f>
        <v>270000</v>
      </c>
      <c r="P265" s="20">
        <v>75000</v>
      </c>
      <c r="Q265" s="48">
        <v>75000</v>
      </c>
      <c r="R265" s="67"/>
      <c r="S265" s="67"/>
      <c r="T265" s="67"/>
      <c r="U265" s="67"/>
      <c r="V265" s="67"/>
    </row>
    <row r="266" spans="3:22" ht="12.75" customHeight="1">
      <c r="C266" s="18"/>
      <c r="D266" s="96" t="s">
        <v>136</v>
      </c>
      <c r="E266" s="24"/>
      <c r="F266" s="24"/>
      <c r="G266" s="24"/>
      <c r="H266" s="24"/>
      <c r="I266" s="24"/>
      <c r="J266" s="22"/>
      <c r="K266" s="15"/>
      <c r="L266" s="69"/>
      <c r="M266" s="15"/>
      <c r="N266" s="16"/>
      <c r="O266" s="20"/>
      <c r="P266" s="20"/>
      <c r="Q266" s="48"/>
      <c r="R266" s="67"/>
      <c r="S266" s="67"/>
      <c r="T266" s="67"/>
      <c r="U266" s="67"/>
      <c r="V266" s="67"/>
    </row>
    <row r="267" spans="3:22" ht="12.75" customHeight="1">
      <c r="C267" s="18"/>
      <c r="D267" s="96" t="s">
        <v>137</v>
      </c>
      <c r="E267" s="24"/>
      <c r="F267" s="24"/>
      <c r="G267" s="24"/>
      <c r="H267" s="24"/>
      <c r="I267" s="24"/>
      <c r="J267" s="22"/>
      <c r="K267" s="15"/>
      <c r="L267" s="69"/>
      <c r="M267" s="15"/>
      <c r="N267" s="16"/>
      <c r="O267" s="20"/>
      <c r="P267" s="20"/>
      <c r="Q267" s="48"/>
      <c r="R267" s="67"/>
      <c r="S267" s="96"/>
      <c r="T267" s="67"/>
      <c r="U267" s="67"/>
      <c r="V267" s="67"/>
    </row>
    <row r="268" spans="3:22" ht="12.75" customHeight="1">
      <c r="C268" s="18"/>
      <c r="D268" s="96" t="s">
        <v>138</v>
      </c>
      <c r="E268" s="24"/>
      <c r="F268" s="24"/>
      <c r="G268" s="24"/>
      <c r="H268" s="24"/>
      <c r="I268" s="24"/>
      <c r="J268" s="22"/>
      <c r="K268" s="15"/>
      <c r="L268" s="69"/>
      <c r="M268" s="15"/>
      <c r="N268" s="16"/>
      <c r="O268" s="20"/>
      <c r="P268" s="20"/>
      <c r="Q268" s="48"/>
      <c r="R268" s="67"/>
      <c r="S268" s="96"/>
      <c r="T268" s="67"/>
      <c r="U268" s="67"/>
      <c r="V268" s="67"/>
    </row>
    <row r="269" spans="3:22" ht="12.75" customHeight="1">
      <c r="C269" s="18"/>
      <c r="D269" s="96" t="s">
        <v>139</v>
      </c>
      <c r="E269" s="24"/>
      <c r="F269" s="24"/>
      <c r="G269" s="24"/>
      <c r="H269" s="24"/>
      <c r="I269" s="24"/>
      <c r="J269" s="22"/>
      <c r="K269" s="15"/>
      <c r="L269" s="69"/>
      <c r="M269" s="15"/>
      <c r="N269" s="16"/>
      <c r="O269" s="20"/>
      <c r="P269" s="20"/>
      <c r="Q269" s="48"/>
      <c r="R269" s="67"/>
      <c r="S269" s="96"/>
      <c r="T269" s="67"/>
      <c r="U269" s="67"/>
      <c r="V269" s="67"/>
    </row>
    <row r="270" spans="3:22" ht="12.75" customHeight="1">
      <c r="C270" s="18"/>
      <c r="D270" s="96" t="s">
        <v>140</v>
      </c>
      <c r="E270" s="24"/>
      <c r="F270" s="24"/>
      <c r="G270" s="24"/>
      <c r="H270" s="24"/>
      <c r="I270" s="24"/>
      <c r="J270" s="22"/>
      <c r="K270" s="15"/>
      <c r="L270" s="69"/>
      <c r="M270" s="15"/>
      <c r="N270" s="16"/>
      <c r="O270" s="20"/>
      <c r="P270" s="20"/>
      <c r="Q270" s="48"/>
      <c r="R270" s="67"/>
      <c r="S270" s="96"/>
      <c r="T270" s="67"/>
      <c r="U270" s="67"/>
      <c r="V270" s="67"/>
    </row>
    <row r="271" spans="3:22" ht="12.75" customHeight="1">
      <c r="C271" s="18"/>
      <c r="D271" s="96" t="s">
        <v>141</v>
      </c>
      <c r="E271" s="24"/>
      <c r="F271" s="24"/>
      <c r="G271" s="24"/>
      <c r="H271" s="24"/>
      <c r="I271" s="24"/>
      <c r="J271" s="22"/>
      <c r="K271" s="15"/>
      <c r="L271" s="69"/>
      <c r="M271" s="15"/>
      <c r="N271" s="16"/>
      <c r="O271" s="20"/>
      <c r="P271" s="20"/>
      <c r="Q271" s="48"/>
      <c r="R271" s="67"/>
      <c r="S271" s="96"/>
      <c r="T271" s="67"/>
      <c r="U271" s="67"/>
      <c r="V271" s="67"/>
    </row>
    <row r="272" spans="3:22" ht="12.75" customHeight="1">
      <c r="C272" s="18"/>
      <c r="D272" s="96" t="s">
        <v>142</v>
      </c>
      <c r="E272" s="24"/>
      <c r="F272" s="24"/>
      <c r="G272" s="24"/>
      <c r="H272" s="24"/>
      <c r="I272" s="24"/>
      <c r="J272" s="22"/>
      <c r="K272" s="15"/>
      <c r="L272" s="69"/>
      <c r="M272" s="15"/>
      <c r="N272" s="16"/>
      <c r="O272" s="20"/>
      <c r="P272" s="20"/>
      <c r="Q272" s="48"/>
      <c r="R272" s="67"/>
      <c r="S272" s="96"/>
      <c r="T272" s="67"/>
      <c r="U272" s="67"/>
      <c r="V272" s="67"/>
    </row>
    <row r="273" spans="3:22" ht="12.75" customHeight="1">
      <c r="C273" s="18"/>
      <c r="D273" s="96" t="s">
        <v>143</v>
      </c>
      <c r="E273" s="24"/>
      <c r="F273" s="24"/>
      <c r="G273" s="24"/>
      <c r="H273" s="24"/>
      <c r="I273" s="24"/>
      <c r="J273" s="22"/>
      <c r="K273" s="15"/>
      <c r="L273" s="69"/>
      <c r="M273" s="15"/>
      <c r="N273" s="16"/>
      <c r="O273" s="20"/>
      <c r="P273" s="20"/>
      <c r="Q273" s="48"/>
      <c r="R273" s="67"/>
      <c r="S273" s="96"/>
      <c r="T273" s="67"/>
      <c r="U273" s="67"/>
      <c r="V273" s="67"/>
    </row>
    <row r="274" spans="3:22" ht="12.75" customHeight="1">
      <c r="C274" s="18"/>
      <c r="D274" s="96" t="s">
        <v>144</v>
      </c>
      <c r="E274" s="24"/>
      <c r="F274" s="24"/>
      <c r="G274" s="24"/>
      <c r="H274" s="24"/>
      <c r="I274" s="24"/>
      <c r="J274" s="22"/>
      <c r="K274" s="15"/>
      <c r="L274" s="69"/>
      <c r="M274" s="15"/>
      <c r="N274" s="16"/>
      <c r="O274" s="20"/>
      <c r="P274" s="20"/>
      <c r="Q274" s="48"/>
      <c r="R274" s="67"/>
      <c r="S274" s="96"/>
      <c r="T274" s="67"/>
      <c r="U274" s="67"/>
      <c r="V274" s="67"/>
    </row>
    <row r="275" spans="3:22" ht="12.75" customHeight="1">
      <c r="C275" s="18"/>
      <c r="D275" s="96" t="s">
        <v>145</v>
      </c>
      <c r="E275" s="24"/>
      <c r="F275" s="24"/>
      <c r="G275" s="24"/>
      <c r="H275" s="24"/>
      <c r="I275" s="24"/>
      <c r="J275" s="22"/>
      <c r="K275" s="15"/>
      <c r="L275" s="69"/>
      <c r="M275" s="15"/>
      <c r="N275" s="16"/>
      <c r="O275" s="20"/>
      <c r="P275" s="20"/>
      <c r="Q275" s="48"/>
      <c r="R275" s="67"/>
      <c r="S275" s="96"/>
      <c r="T275" s="67"/>
      <c r="U275" s="67"/>
      <c r="V275" s="67"/>
    </row>
    <row r="276" spans="3:22" ht="12.75" customHeight="1">
      <c r="C276" s="18"/>
      <c r="D276" s="96" t="s">
        <v>146</v>
      </c>
      <c r="E276" s="24"/>
      <c r="F276" s="24"/>
      <c r="G276" s="24"/>
      <c r="H276" s="24"/>
      <c r="I276" s="24"/>
      <c r="J276" s="22"/>
      <c r="K276" s="15"/>
      <c r="L276" s="69"/>
      <c r="M276" s="15"/>
      <c r="N276" s="16"/>
      <c r="O276" s="20"/>
      <c r="P276" s="20"/>
      <c r="Q276" s="48"/>
      <c r="R276" s="67"/>
      <c r="S276" s="96"/>
      <c r="T276" s="67"/>
      <c r="U276" s="67"/>
      <c r="V276" s="67"/>
    </row>
    <row r="277" spans="3:22" ht="12.75" customHeight="1">
      <c r="C277" s="18"/>
      <c r="D277" s="96" t="s">
        <v>147</v>
      </c>
      <c r="E277" s="24"/>
      <c r="F277" s="24"/>
      <c r="G277" s="24"/>
      <c r="H277" s="24"/>
      <c r="I277" s="24"/>
      <c r="J277" s="22"/>
      <c r="K277" s="15"/>
      <c r="L277" s="69"/>
      <c r="M277" s="15"/>
      <c r="N277" s="16"/>
      <c r="O277" s="20"/>
      <c r="P277" s="20"/>
      <c r="Q277" s="48"/>
      <c r="R277" s="67"/>
      <c r="S277" s="96"/>
      <c r="T277" s="67"/>
      <c r="U277" s="67"/>
      <c r="V277" s="67"/>
    </row>
    <row r="278" spans="3:22" ht="12.75" customHeight="1">
      <c r="C278" s="18"/>
      <c r="D278" s="96" t="s">
        <v>148</v>
      </c>
      <c r="E278" s="24"/>
      <c r="F278" s="24"/>
      <c r="G278" s="24"/>
      <c r="H278" s="24"/>
      <c r="I278" s="24"/>
      <c r="J278" s="22"/>
      <c r="K278" s="15"/>
      <c r="L278" s="69"/>
      <c r="M278" s="15"/>
      <c r="N278" s="16"/>
      <c r="O278" s="20"/>
      <c r="P278" s="20"/>
      <c r="Q278" s="48"/>
      <c r="R278" s="67"/>
      <c r="S278" s="96"/>
      <c r="T278" s="67"/>
      <c r="U278" s="67"/>
      <c r="V278" s="67"/>
    </row>
    <row r="279" spans="3:22" ht="12.75" customHeight="1">
      <c r="C279" s="18"/>
      <c r="D279" s="96" t="s">
        <v>149</v>
      </c>
      <c r="E279" s="24"/>
      <c r="F279" s="24"/>
      <c r="G279" s="24"/>
      <c r="H279" s="24"/>
      <c r="I279" s="24"/>
      <c r="J279" s="22"/>
      <c r="K279" s="15"/>
      <c r="L279" s="69"/>
      <c r="M279" s="15"/>
      <c r="N279" s="16"/>
      <c r="O279" s="20"/>
      <c r="P279" s="20"/>
      <c r="Q279" s="48"/>
      <c r="R279" s="67"/>
      <c r="S279" s="96"/>
      <c r="T279" s="67"/>
      <c r="U279" s="67"/>
      <c r="V279" s="67"/>
    </row>
    <row r="280" spans="3:22" ht="12.75" customHeight="1">
      <c r="C280" s="18"/>
      <c r="D280" s="96" t="s">
        <v>150</v>
      </c>
      <c r="E280" s="24"/>
      <c r="F280" s="24"/>
      <c r="G280" s="24"/>
      <c r="H280" s="24"/>
      <c r="I280" s="24"/>
      <c r="J280" s="22"/>
      <c r="K280" s="15"/>
      <c r="L280" s="69"/>
      <c r="M280" s="15"/>
      <c r="N280" s="16"/>
      <c r="O280" s="20"/>
      <c r="P280" s="20"/>
      <c r="Q280" s="48"/>
      <c r="R280" s="67"/>
      <c r="S280" s="96"/>
      <c r="T280" s="67"/>
      <c r="U280" s="67"/>
      <c r="V280" s="67"/>
    </row>
    <row r="281" spans="3:22" ht="12.75" customHeight="1">
      <c r="C281" s="18"/>
      <c r="D281" s="96" t="s">
        <v>151</v>
      </c>
      <c r="E281" s="24"/>
      <c r="F281" s="24"/>
      <c r="G281" s="24"/>
      <c r="H281" s="24"/>
      <c r="I281" s="24"/>
      <c r="J281" s="22"/>
      <c r="K281" s="15"/>
      <c r="L281" s="69"/>
      <c r="M281" s="15"/>
      <c r="N281" s="16"/>
      <c r="O281" s="20"/>
      <c r="P281" s="20"/>
      <c r="Q281" s="48"/>
      <c r="R281" s="67"/>
      <c r="S281" s="96"/>
      <c r="T281" s="67"/>
      <c r="U281" s="67"/>
      <c r="V281" s="67"/>
    </row>
    <row r="282" spans="3:22" ht="12.75" customHeight="1">
      <c r="C282" s="18"/>
      <c r="D282" s="96" t="s">
        <v>152</v>
      </c>
      <c r="E282" s="24"/>
      <c r="F282" s="24"/>
      <c r="G282" s="24"/>
      <c r="H282" s="24"/>
      <c r="I282" s="24"/>
      <c r="J282" s="22"/>
      <c r="K282" s="15"/>
      <c r="L282" s="69"/>
      <c r="M282" s="15"/>
      <c r="N282" s="16"/>
      <c r="O282" s="20"/>
      <c r="P282" s="20"/>
      <c r="Q282" s="48"/>
      <c r="R282" s="67"/>
      <c r="S282" s="96"/>
      <c r="T282" s="67"/>
      <c r="U282" s="67"/>
      <c r="V282" s="67"/>
    </row>
    <row r="283" spans="3:22" ht="12.75" customHeight="1">
      <c r="C283" s="18">
        <v>5</v>
      </c>
      <c r="D283" s="95" t="s">
        <v>153</v>
      </c>
      <c r="E283" s="24"/>
      <c r="F283" s="24"/>
      <c r="G283" s="24"/>
      <c r="H283" s="24"/>
      <c r="I283" s="24"/>
      <c r="J283" s="22" t="s">
        <v>32</v>
      </c>
      <c r="K283" s="15">
        <v>36</v>
      </c>
      <c r="L283" s="69">
        <f>Q283*0.9</f>
        <v>45000</v>
      </c>
      <c r="M283" s="15">
        <v>0</v>
      </c>
      <c r="N283" s="16">
        <f>Q283*0.1</f>
        <v>5000</v>
      </c>
      <c r="O283" s="20">
        <v>0</v>
      </c>
      <c r="P283" s="20">
        <v>50000</v>
      </c>
      <c r="Q283" s="48">
        <v>50000</v>
      </c>
      <c r="R283" s="67"/>
      <c r="S283" s="96"/>
      <c r="T283" s="67"/>
      <c r="U283" s="67"/>
      <c r="V283" s="67"/>
    </row>
    <row r="284" spans="3:22" ht="12.75" customHeight="1">
      <c r="C284" s="18"/>
      <c r="D284" s="95" t="s">
        <v>136</v>
      </c>
      <c r="E284" s="24"/>
      <c r="F284" s="24"/>
      <c r="G284" s="24"/>
      <c r="H284" s="24"/>
      <c r="I284" s="24"/>
      <c r="J284" s="22"/>
      <c r="K284" s="15"/>
      <c r="L284" s="69"/>
      <c r="M284" s="15"/>
      <c r="N284" s="16"/>
      <c r="O284" s="20"/>
      <c r="P284" s="20"/>
      <c r="Q284" s="48"/>
      <c r="R284" s="67"/>
      <c r="S284" s="96"/>
      <c r="T284" s="67"/>
      <c r="U284" s="67"/>
      <c r="V284" s="67"/>
    </row>
    <row r="285" spans="3:22" ht="12.75" customHeight="1">
      <c r="C285" s="18"/>
      <c r="D285" s="95" t="s">
        <v>154</v>
      </c>
      <c r="E285" s="24"/>
      <c r="F285" s="24"/>
      <c r="G285" s="24"/>
      <c r="H285" s="24"/>
      <c r="I285" s="24"/>
      <c r="J285" s="22"/>
      <c r="K285" s="15"/>
      <c r="L285" s="69"/>
      <c r="M285" s="15"/>
      <c r="N285" s="16"/>
      <c r="O285" s="20"/>
      <c r="P285" s="20"/>
      <c r="Q285" s="48"/>
      <c r="R285" s="67"/>
      <c r="S285" s="95"/>
      <c r="T285" s="67"/>
      <c r="U285" s="67"/>
      <c r="V285" s="67"/>
    </row>
    <row r="286" spans="3:22" ht="12.75" customHeight="1">
      <c r="C286" s="18"/>
      <c r="D286" s="95" t="s">
        <v>137</v>
      </c>
      <c r="E286" s="24"/>
      <c r="F286" s="24"/>
      <c r="G286" s="24"/>
      <c r="H286" s="24"/>
      <c r="I286" s="24"/>
      <c r="J286" s="22"/>
      <c r="K286" s="15"/>
      <c r="L286" s="69"/>
      <c r="M286" s="15"/>
      <c r="N286" s="16"/>
      <c r="O286" s="20"/>
      <c r="P286" s="20"/>
      <c r="Q286" s="48"/>
      <c r="R286" s="67"/>
      <c r="S286" s="95"/>
      <c r="T286" s="67"/>
      <c r="U286" s="67"/>
      <c r="V286" s="67"/>
    </row>
    <row r="287" spans="3:22" ht="12.75" customHeight="1">
      <c r="C287" s="18"/>
      <c r="D287" s="95" t="s">
        <v>155</v>
      </c>
      <c r="E287" s="24"/>
      <c r="F287" s="24"/>
      <c r="G287" s="24"/>
      <c r="H287" s="24"/>
      <c r="I287" s="24"/>
      <c r="J287" s="22"/>
      <c r="K287" s="15"/>
      <c r="L287" s="69"/>
      <c r="M287" s="15"/>
      <c r="N287" s="16"/>
      <c r="O287" s="20"/>
      <c r="P287" s="20"/>
      <c r="Q287" s="48"/>
      <c r="R287" s="67"/>
      <c r="S287" s="95"/>
      <c r="T287" s="67"/>
      <c r="U287" s="67"/>
      <c r="V287" s="67"/>
    </row>
    <row r="288" spans="3:22" ht="12.75" customHeight="1">
      <c r="C288" s="18"/>
      <c r="D288" s="95" t="s">
        <v>156</v>
      </c>
      <c r="E288" s="24"/>
      <c r="F288" s="24"/>
      <c r="G288" s="24"/>
      <c r="H288" s="24"/>
      <c r="I288" s="24"/>
      <c r="J288" s="22"/>
      <c r="K288" s="15"/>
      <c r="L288" s="69"/>
      <c r="M288" s="15"/>
      <c r="N288" s="16"/>
      <c r="O288" s="20"/>
      <c r="P288" s="20"/>
      <c r="Q288" s="48"/>
      <c r="R288" s="67"/>
      <c r="S288" s="95"/>
      <c r="T288" s="67"/>
      <c r="U288" s="67"/>
      <c r="V288" s="67"/>
    </row>
    <row r="289" spans="3:22" ht="12.75" customHeight="1">
      <c r="C289" s="18"/>
      <c r="D289" s="95" t="s">
        <v>157</v>
      </c>
      <c r="E289" s="24"/>
      <c r="F289" s="24"/>
      <c r="G289" s="24"/>
      <c r="H289" s="24"/>
      <c r="I289" s="24"/>
      <c r="J289" s="22"/>
      <c r="K289" s="15"/>
      <c r="L289" s="69"/>
      <c r="M289" s="15"/>
      <c r="N289" s="16"/>
      <c r="O289" s="20"/>
      <c r="P289" s="20"/>
      <c r="Q289" s="48"/>
      <c r="R289" s="67"/>
      <c r="S289" s="95"/>
      <c r="T289" s="67"/>
      <c r="U289" s="67"/>
      <c r="V289" s="67"/>
    </row>
    <row r="290" spans="3:22" ht="12.75" customHeight="1">
      <c r="C290" s="18"/>
      <c r="D290" s="95" t="s">
        <v>158</v>
      </c>
      <c r="E290" s="24"/>
      <c r="F290" s="24"/>
      <c r="G290" s="24"/>
      <c r="H290" s="24"/>
      <c r="I290" s="24"/>
      <c r="J290" s="22"/>
      <c r="K290" s="15"/>
      <c r="L290" s="69"/>
      <c r="M290" s="15"/>
      <c r="N290" s="16"/>
      <c r="O290" s="20"/>
      <c r="P290" s="20"/>
      <c r="Q290" s="48"/>
      <c r="R290" s="67"/>
      <c r="S290" s="95"/>
      <c r="T290" s="67"/>
      <c r="U290" s="67"/>
      <c r="V290" s="67"/>
    </row>
    <row r="291" spans="3:22" ht="12.75" customHeight="1">
      <c r="C291" s="18"/>
      <c r="D291" s="95" t="s">
        <v>159</v>
      </c>
      <c r="E291" s="24"/>
      <c r="F291" s="24"/>
      <c r="G291" s="24"/>
      <c r="H291" s="24"/>
      <c r="I291" s="24"/>
      <c r="J291" s="22"/>
      <c r="K291" s="15"/>
      <c r="L291" s="69"/>
      <c r="M291" s="15"/>
      <c r="N291" s="16"/>
      <c r="O291" s="20"/>
      <c r="P291" s="20"/>
      <c r="Q291" s="48"/>
      <c r="R291" s="67"/>
      <c r="S291" s="95"/>
      <c r="T291" s="67"/>
      <c r="U291" s="67"/>
      <c r="V291" s="67"/>
    </row>
    <row r="292" spans="3:22" ht="12.75" customHeight="1">
      <c r="C292" s="18"/>
      <c r="D292" s="95" t="s">
        <v>160</v>
      </c>
      <c r="E292" s="24"/>
      <c r="F292" s="24"/>
      <c r="G292" s="24"/>
      <c r="H292" s="24"/>
      <c r="I292" s="24"/>
      <c r="J292" s="22"/>
      <c r="K292" s="15"/>
      <c r="L292" s="69"/>
      <c r="M292" s="15"/>
      <c r="N292" s="16"/>
      <c r="O292" s="20"/>
      <c r="P292" s="20"/>
      <c r="Q292" s="48"/>
      <c r="R292" s="67"/>
      <c r="S292" s="95"/>
      <c r="T292" s="67"/>
      <c r="U292" s="67"/>
      <c r="V292" s="67"/>
    </row>
    <row r="293" spans="3:22" ht="12.75" customHeight="1">
      <c r="C293" s="18"/>
      <c r="D293" s="95" t="s">
        <v>161</v>
      </c>
      <c r="E293" s="24"/>
      <c r="F293" s="24"/>
      <c r="G293" s="24"/>
      <c r="H293" s="24"/>
      <c r="I293" s="24"/>
      <c r="J293" s="22"/>
      <c r="K293" s="15"/>
      <c r="L293" s="69"/>
      <c r="M293" s="15"/>
      <c r="N293" s="16"/>
      <c r="O293" s="20"/>
      <c r="P293" s="20"/>
      <c r="Q293" s="48"/>
      <c r="R293" s="67"/>
      <c r="S293" s="95"/>
      <c r="T293" s="67"/>
      <c r="U293" s="67"/>
      <c r="V293" s="67"/>
    </row>
    <row r="294" spans="3:22" ht="12.75" customHeight="1">
      <c r="C294" s="18"/>
      <c r="D294" s="95" t="s">
        <v>162</v>
      </c>
      <c r="E294" s="24"/>
      <c r="F294" s="24"/>
      <c r="G294" s="24"/>
      <c r="H294" s="24"/>
      <c r="I294" s="24"/>
      <c r="J294" s="22"/>
      <c r="K294" s="15"/>
      <c r="L294" s="69"/>
      <c r="M294" s="15"/>
      <c r="N294" s="16"/>
      <c r="O294" s="20"/>
      <c r="P294" s="20"/>
      <c r="Q294" s="48"/>
      <c r="R294" s="67"/>
      <c r="T294" s="67"/>
      <c r="U294" s="67"/>
      <c r="V294" s="67"/>
    </row>
    <row r="295" spans="3:22" ht="12.75" customHeight="1">
      <c r="C295" s="18"/>
      <c r="D295" s="95" t="s">
        <v>163</v>
      </c>
      <c r="E295" s="24"/>
      <c r="F295" s="24"/>
      <c r="G295" s="24"/>
      <c r="H295" s="24"/>
      <c r="I295" s="24"/>
      <c r="J295" s="22"/>
      <c r="K295" s="15"/>
      <c r="L295" s="69"/>
      <c r="M295" s="15"/>
      <c r="N295" s="16"/>
      <c r="O295" s="20"/>
      <c r="P295" s="20"/>
      <c r="Q295" s="48"/>
      <c r="R295" s="67"/>
      <c r="T295" s="67"/>
      <c r="U295" s="67"/>
      <c r="V295" s="67"/>
    </row>
    <row r="296" spans="3:22" ht="12.75" customHeight="1">
      <c r="C296" s="18">
        <v>6</v>
      </c>
      <c r="D296" s="95" t="s">
        <v>164</v>
      </c>
      <c r="E296" s="24"/>
      <c r="F296" s="24"/>
      <c r="G296" s="24"/>
      <c r="H296" s="24"/>
      <c r="I296" s="24"/>
      <c r="J296" s="22" t="s">
        <v>32</v>
      </c>
      <c r="K296" s="15">
        <v>36</v>
      </c>
      <c r="L296" s="69">
        <f>Q296*0.9</f>
        <v>2700</v>
      </c>
      <c r="M296" s="15">
        <f>L296*K296</f>
        <v>97200</v>
      </c>
      <c r="N296" s="16">
        <f>Q296*0.1</f>
        <v>300</v>
      </c>
      <c r="O296" s="20">
        <f>K296*N296</f>
        <v>10800</v>
      </c>
      <c r="P296" s="20">
        <v>3000</v>
      </c>
      <c r="Q296" s="48">
        <v>3000</v>
      </c>
      <c r="R296" s="67"/>
      <c r="T296" s="67"/>
      <c r="U296" s="67"/>
      <c r="V296" s="67"/>
    </row>
    <row r="297" spans="3:22" ht="12.75" customHeight="1">
      <c r="C297" s="18"/>
      <c r="D297" s="24" t="s">
        <v>165</v>
      </c>
      <c r="E297" s="24"/>
      <c r="F297" s="24"/>
      <c r="G297" s="24"/>
      <c r="H297" s="24"/>
      <c r="I297" s="24"/>
      <c r="J297" s="22"/>
      <c r="K297" s="15"/>
      <c r="L297" s="69"/>
      <c r="M297" s="15"/>
      <c r="N297" s="16"/>
      <c r="O297" s="20"/>
      <c r="P297" s="20"/>
      <c r="Q297" s="48"/>
      <c r="R297" s="67"/>
      <c r="T297" s="67"/>
      <c r="U297" s="67"/>
      <c r="V297" s="67"/>
    </row>
    <row r="298" spans="3:22" ht="12.75" customHeight="1">
      <c r="C298" s="18"/>
      <c r="D298" s="95" t="s">
        <v>166</v>
      </c>
      <c r="E298" s="24"/>
      <c r="F298" s="24"/>
      <c r="G298" s="24"/>
      <c r="H298" s="24"/>
      <c r="I298" s="24"/>
      <c r="J298" s="22"/>
      <c r="K298" s="15"/>
      <c r="L298" s="69"/>
      <c r="M298" s="15"/>
      <c r="N298" s="16"/>
      <c r="O298" s="20"/>
      <c r="P298" s="20"/>
      <c r="Q298" s="48"/>
      <c r="R298" s="67"/>
      <c r="T298" s="67"/>
      <c r="U298" s="67"/>
      <c r="V298" s="67"/>
    </row>
    <row r="299" spans="3:22" ht="12.75" customHeight="1">
      <c r="C299" s="62" t="s">
        <v>167</v>
      </c>
      <c r="D299" s="33" t="s">
        <v>168</v>
      </c>
      <c r="E299" s="14"/>
      <c r="F299" s="14"/>
      <c r="G299" s="14"/>
      <c r="H299" s="14"/>
      <c r="I299" s="34"/>
      <c r="J299" s="25"/>
      <c r="K299" s="29"/>
      <c r="L299" s="29"/>
      <c r="M299" s="29"/>
      <c r="N299" s="30"/>
      <c r="O299" s="60"/>
      <c r="P299" s="60"/>
      <c r="Q299" s="52"/>
      <c r="R299" s="68"/>
      <c r="T299" s="68"/>
      <c r="U299" s="68"/>
      <c r="V299" s="68"/>
    </row>
    <row r="300" spans="3:22" ht="12.75" customHeight="1">
      <c r="C300" s="63">
        <v>1</v>
      </c>
      <c r="D300" s="23" t="s">
        <v>169</v>
      </c>
      <c r="E300" s="24"/>
      <c r="F300" s="24"/>
      <c r="G300" s="24"/>
      <c r="H300" s="24"/>
      <c r="I300" s="35"/>
      <c r="J300" s="22" t="s">
        <v>170</v>
      </c>
      <c r="K300" s="15">
        <v>1</v>
      </c>
      <c r="L300" s="15">
        <f>Q300*0</f>
        <v>0</v>
      </c>
      <c r="M300" s="15">
        <f>L300*K300</f>
        <v>0</v>
      </c>
      <c r="N300" s="16">
        <f>Q300*1</f>
        <v>600000</v>
      </c>
      <c r="O300" s="20">
        <f>K300*N300</f>
        <v>600000</v>
      </c>
      <c r="P300" s="20">
        <v>600000</v>
      </c>
      <c r="Q300" s="48">
        <v>600000</v>
      </c>
      <c r="R300" s="67"/>
      <c r="T300" s="67"/>
      <c r="U300" s="67"/>
      <c r="V300" s="67"/>
    </row>
    <row r="301" spans="3:22" ht="12.75" customHeight="1">
      <c r="C301" s="63"/>
      <c r="D301" s="23" t="s">
        <v>171</v>
      </c>
      <c r="E301" s="24"/>
      <c r="F301" s="24"/>
      <c r="G301" s="24"/>
      <c r="H301" s="24"/>
      <c r="I301" s="35"/>
      <c r="J301" s="22"/>
      <c r="K301" s="15"/>
      <c r="L301" s="15"/>
      <c r="M301" s="16"/>
      <c r="N301" s="21"/>
      <c r="O301" s="20" t="s">
        <v>172</v>
      </c>
      <c r="P301" s="20"/>
      <c r="Q301" s="48" t="s">
        <v>172</v>
      </c>
      <c r="R301" s="67"/>
      <c r="S301" s="67"/>
      <c r="T301" s="67"/>
      <c r="U301" s="67"/>
      <c r="V301" s="67"/>
    </row>
    <row r="302" spans="3:22" ht="12.75" customHeight="1">
      <c r="C302" s="63"/>
      <c r="D302" s="23" t="s">
        <v>173</v>
      </c>
      <c r="E302" s="24"/>
      <c r="F302" s="24"/>
      <c r="G302" s="24"/>
      <c r="H302" s="24"/>
      <c r="I302" s="35"/>
      <c r="J302" s="22"/>
      <c r="K302" s="15"/>
      <c r="L302" s="15"/>
      <c r="M302" s="15"/>
      <c r="N302" s="21"/>
      <c r="O302" s="20"/>
      <c r="P302" s="20"/>
      <c r="Q302" s="48"/>
      <c r="R302" s="67"/>
      <c r="S302" s="67"/>
      <c r="T302" s="67"/>
      <c r="U302" s="67"/>
      <c r="V302" s="67"/>
    </row>
    <row r="303" spans="3:22" ht="12.75" customHeight="1">
      <c r="C303" s="123"/>
      <c r="D303" s="124" t="s">
        <v>174</v>
      </c>
      <c r="E303" s="125"/>
      <c r="F303" s="125"/>
      <c r="G303" s="125"/>
      <c r="H303" s="125"/>
      <c r="I303" s="31"/>
      <c r="J303" s="126"/>
      <c r="K303" s="31"/>
      <c r="L303" s="31"/>
      <c r="M303" s="31"/>
      <c r="N303" s="31"/>
      <c r="O303" s="127"/>
      <c r="P303" s="127"/>
      <c r="Q303" s="31"/>
      <c r="R303" s="13"/>
      <c r="S303" s="13"/>
      <c r="T303" s="13"/>
      <c r="U303" s="13"/>
      <c r="V303" s="13"/>
    </row>
    <row r="304" spans="3:22" ht="12.75" customHeight="1">
      <c r="C304" s="128"/>
      <c r="D304" s="128"/>
      <c r="E304" s="128"/>
      <c r="F304" s="128"/>
      <c r="G304" s="128"/>
      <c r="H304" s="128"/>
      <c r="I304" s="128"/>
      <c r="J304" s="128"/>
      <c r="K304" s="128"/>
      <c r="L304" s="128"/>
      <c r="M304" s="129">
        <f>SUM(M75:M303)</f>
        <v>36854035</v>
      </c>
      <c r="N304" s="130"/>
      <c r="O304" s="129">
        <f>SUM(O75:O303)</f>
        <v>4832115</v>
      </c>
      <c r="P304" s="129"/>
    </row>
    <row r="305" spans="3:15" ht="12.75" customHeight="1">
      <c r="C305" s="131"/>
      <c r="D305" s="131"/>
      <c r="E305" s="131"/>
      <c r="F305" s="131"/>
      <c r="G305" s="131"/>
      <c r="H305" s="131"/>
      <c r="I305" s="131"/>
      <c r="J305" s="131"/>
      <c r="K305" s="131"/>
      <c r="L305" s="131"/>
      <c r="M305" s="194">
        <f>M304+O304</f>
        <v>41686150</v>
      </c>
      <c r="N305" s="195"/>
      <c r="O305" s="131"/>
    </row>
    <row r="306" spans="3:15" ht="12.75" customHeight="1">
      <c r="D306" s="3"/>
      <c r="M306" s="80"/>
      <c r="N306" s="81"/>
    </row>
    <row r="307" spans="3:15" ht="12.75" customHeight="1">
      <c r="D307" s="3" t="s">
        <v>175</v>
      </c>
      <c r="M307" s="80"/>
      <c r="N307" s="81"/>
    </row>
    <row r="308" spans="3:15" ht="12.75" customHeight="1">
      <c r="C308" s="19">
        <v>1</v>
      </c>
      <c r="D308" s="24" t="s">
        <v>176</v>
      </c>
      <c r="E308" s="13"/>
      <c r="F308" s="13"/>
    </row>
    <row r="309" spans="3:15">
      <c r="C309" s="19">
        <v>2</v>
      </c>
      <c r="D309" s="24" t="s">
        <v>177</v>
      </c>
      <c r="E309" s="13"/>
      <c r="F309" s="13"/>
    </row>
    <row r="310" spans="3:15">
      <c r="C310" s="19">
        <v>3</v>
      </c>
      <c r="D310" s="24" t="s">
        <v>178</v>
      </c>
      <c r="E310" s="13"/>
      <c r="F310" s="13"/>
    </row>
    <row r="311" spans="3:15">
      <c r="C311" s="19">
        <v>4</v>
      </c>
      <c r="D311" s="104" t="s">
        <v>179</v>
      </c>
      <c r="E311" s="13"/>
      <c r="F311" s="13"/>
    </row>
    <row r="312" spans="3:15">
      <c r="C312" s="19">
        <v>7</v>
      </c>
      <c r="D312" s="24" t="s">
        <v>180</v>
      </c>
      <c r="E312" s="13"/>
      <c r="F312" s="13"/>
    </row>
    <row r="313" spans="3:15">
      <c r="C313" s="19">
        <v>8</v>
      </c>
      <c r="D313" s="24" t="s">
        <v>181</v>
      </c>
      <c r="E313" s="13"/>
      <c r="F313" s="13"/>
    </row>
    <row r="314" spans="3:15">
      <c r="C314" s="19">
        <v>9</v>
      </c>
      <c r="D314" s="24" t="s">
        <v>182</v>
      </c>
      <c r="E314" s="13"/>
      <c r="F314" s="13"/>
    </row>
    <row r="315" spans="3:15">
      <c r="C315" s="19">
        <v>10</v>
      </c>
      <c r="D315" s="24" t="s">
        <v>183</v>
      </c>
      <c r="E315" s="13"/>
      <c r="F315" s="13"/>
    </row>
    <row r="316" spans="3:15">
      <c r="C316" s="19">
        <v>11</v>
      </c>
      <c r="D316" s="24" t="s">
        <v>184</v>
      </c>
      <c r="E316" s="13"/>
      <c r="F316" s="13"/>
    </row>
    <row r="317" spans="3:15">
      <c r="C317" s="19">
        <v>12</v>
      </c>
      <c r="D317" s="24" t="s">
        <v>185</v>
      </c>
      <c r="E317" s="13"/>
      <c r="F317" s="13"/>
    </row>
    <row r="318" spans="3:15">
      <c r="C318" s="19"/>
      <c r="D318" s="24" t="s">
        <v>186</v>
      </c>
      <c r="E318" s="13"/>
      <c r="F318" s="13"/>
    </row>
    <row r="319" spans="3:15">
      <c r="C319" s="19">
        <v>13</v>
      </c>
      <c r="D319" s="24" t="s">
        <v>187</v>
      </c>
      <c r="E319" s="13"/>
      <c r="F319" s="13"/>
    </row>
    <row r="320" spans="3:15">
      <c r="C320" s="19">
        <v>14</v>
      </c>
      <c r="D320" s="24" t="s">
        <v>188</v>
      </c>
      <c r="E320" s="13"/>
      <c r="F320" s="13"/>
    </row>
    <row r="321" spans="3:6">
      <c r="C321" s="19">
        <v>15</v>
      </c>
      <c r="D321" s="24" t="s">
        <v>189</v>
      </c>
      <c r="E321" s="13"/>
      <c r="F321" s="13"/>
    </row>
    <row r="322" spans="3:6">
      <c r="C322" s="19"/>
      <c r="D322" s="24" t="s">
        <v>190</v>
      </c>
      <c r="E322" s="13"/>
      <c r="F322" s="13"/>
    </row>
    <row r="323" spans="3:6">
      <c r="C323" s="19">
        <v>16</v>
      </c>
      <c r="D323" s="24" t="s">
        <v>191</v>
      </c>
      <c r="E323" s="13"/>
      <c r="F323" s="13"/>
    </row>
    <row r="324" spans="3:6">
      <c r="C324" s="19">
        <v>17</v>
      </c>
      <c r="D324" s="24" t="s">
        <v>192</v>
      </c>
      <c r="E324" s="13"/>
      <c r="F324" s="13"/>
    </row>
    <row r="325" spans="3:6">
      <c r="C325" s="19">
        <v>18</v>
      </c>
      <c r="D325" s="24" t="s">
        <v>193</v>
      </c>
      <c r="E325" s="13"/>
      <c r="F325" s="13"/>
    </row>
    <row r="326" spans="3:6">
      <c r="C326" s="19"/>
      <c r="D326" s="24" t="s">
        <v>194</v>
      </c>
      <c r="E326" s="13"/>
      <c r="F326" s="13"/>
    </row>
    <row r="327" spans="3:6" ht="14.25">
      <c r="C327" s="19">
        <v>18</v>
      </c>
      <c r="D327" s="24" t="s">
        <v>195</v>
      </c>
      <c r="E327" s="149"/>
    </row>
    <row r="328" spans="3:6" ht="14.25">
      <c r="C328" s="19"/>
      <c r="D328" s="24" t="s">
        <v>196</v>
      </c>
      <c r="E328" s="149"/>
    </row>
    <row r="329" spans="3:6" ht="14.25">
      <c r="C329" s="19"/>
      <c r="D329" s="24" t="s">
        <v>197</v>
      </c>
      <c r="E329" s="149"/>
    </row>
    <row r="330" spans="3:6">
      <c r="C330" s="19">
        <v>19</v>
      </c>
      <c r="D330" s="24" t="s">
        <v>198</v>
      </c>
      <c r="E330" s="13"/>
      <c r="F330" s="13"/>
    </row>
    <row r="331" spans="3:6">
      <c r="C331" s="19"/>
      <c r="D331" s="24" t="s">
        <v>199</v>
      </c>
      <c r="E331" s="13"/>
      <c r="F331" s="13"/>
    </row>
    <row r="332" spans="3:6">
      <c r="C332" s="19">
        <v>20</v>
      </c>
      <c r="D332" s="24" t="s">
        <v>200</v>
      </c>
      <c r="E332" s="13"/>
      <c r="F332" s="13"/>
    </row>
    <row r="333" spans="3:6">
      <c r="C333" s="19">
        <v>21</v>
      </c>
      <c r="D333" s="24" t="s">
        <v>201</v>
      </c>
      <c r="E333" s="13"/>
      <c r="F333" s="13"/>
    </row>
    <row r="334" spans="3:6">
      <c r="C334" s="19">
        <v>22</v>
      </c>
      <c r="D334" s="24" t="s">
        <v>202</v>
      </c>
      <c r="E334" s="13"/>
      <c r="F334" s="13"/>
    </row>
    <row r="335" spans="3:6">
      <c r="C335" s="19">
        <v>23</v>
      </c>
      <c r="D335" s="24" t="s">
        <v>203</v>
      </c>
      <c r="E335" s="13"/>
      <c r="F335" s="13"/>
    </row>
    <row r="336" spans="3:6">
      <c r="C336" s="19"/>
      <c r="D336" s="24"/>
      <c r="E336" s="13"/>
      <c r="F336" s="13"/>
    </row>
    <row r="337" spans="3:6">
      <c r="C337" s="13"/>
      <c r="D337" s="24" t="s">
        <v>204</v>
      </c>
      <c r="E337" s="13"/>
      <c r="F337" s="13"/>
    </row>
    <row r="338" spans="3:6">
      <c r="C338" s="13"/>
      <c r="D338" s="24" t="s">
        <v>205</v>
      </c>
      <c r="E338" s="13"/>
      <c r="F338" s="13"/>
    </row>
    <row r="339" spans="3:6">
      <c r="C339" s="13"/>
      <c r="D339" s="24"/>
      <c r="E339" s="13"/>
      <c r="F339" s="13"/>
    </row>
    <row r="340" spans="3:6">
      <c r="C340" s="13"/>
      <c r="D340" s="13"/>
      <c r="E340" s="13"/>
      <c r="F340" s="24"/>
    </row>
    <row r="341" spans="3:6">
      <c r="C341" s="13"/>
      <c r="D341" s="24"/>
      <c r="E341" s="13"/>
      <c r="F341" s="13"/>
    </row>
    <row r="342" spans="3:6">
      <c r="C342" s="13"/>
      <c r="D342" s="24"/>
      <c r="E342" s="13"/>
      <c r="F342" s="13"/>
    </row>
    <row r="343" spans="3:6" ht="20.25">
      <c r="C343" s="13"/>
      <c r="D343" s="24"/>
      <c r="E343" s="148"/>
      <c r="F343" s="13"/>
    </row>
    <row r="344" spans="3:6" ht="20.25">
      <c r="C344" s="13"/>
      <c r="D344" s="24"/>
      <c r="E344" s="148"/>
      <c r="F344" s="13"/>
    </row>
    <row r="345" spans="3:6" ht="20.25">
      <c r="C345" s="13"/>
      <c r="D345" s="38"/>
      <c r="E345" s="148"/>
      <c r="F345" s="13"/>
    </row>
    <row r="346" spans="3:6">
      <c r="C346" s="13"/>
      <c r="D346" s="24"/>
      <c r="E346" s="13"/>
      <c r="F346" s="13"/>
    </row>
    <row r="347" spans="3:6">
      <c r="C347" s="13"/>
      <c r="D347" s="38"/>
      <c r="E347" s="13"/>
      <c r="F347" s="13"/>
    </row>
  </sheetData>
  <mergeCells count="910">
    <mergeCell ref="Q187:Q188"/>
    <mergeCell ref="R187:R188"/>
    <mergeCell ref="V187:V188"/>
    <mergeCell ref="X153:X154"/>
    <mergeCell ref="Y153:Y154"/>
    <mergeCell ref="Z153:Z154"/>
    <mergeCell ref="AA153:AA154"/>
    <mergeCell ref="AB153:AB154"/>
    <mergeCell ref="AC153:AC154"/>
    <mergeCell ref="S153:S154"/>
    <mergeCell ref="T153:T154"/>
    <mergeCell ref="P153:P154"/>
    <mergeCell ref="U153:U154"/>
    <mergeCell ref="V153:V154"/>
    <mergeCell ref="W153:W154"/>
    <mergeCell ref="AM153:AM154"/>
    <mergeCell ref="AN153:AN154"/>
    <mergeCell ref="AX153:AX154"/>
    <mergeCell ref="AD153:AD154"/>
    <mergeCell ref="AE153:AE154"/>
    <mergeCell ref="AF153:AF154"/>
    <mergeCell ref="AG153:AG154"/>
    <mergeCell ref="AH153:AH154"/>
    <mergeCell ref="AI153:AI154"/>
    <mergeCell ref="AJ153:AJ154"/>
    <mergeCell ref="AK153:AK154"/>
    <mergeCell ref="AL153:AL154"/>
    <mergeCell ref="AX151:AX152"/>
    <mergeCell ref="C153:C154"/>
    <mergeCell ref="J153:J154"/>
    <mergeCell ref="K153:K154"/>
    <mergeCell ref="L153:L154"/>
    <mergeCell ref="M153:M154"/>
    <mergeCell ref="N153:N154"/>
    <mergeCell ref="O153:O154"/>
    <mergeCell ref="Q153:Q154"/>
    <mergeCell ref="R153:R154"/>
    <mergeCell ref="AI151:AI152"/>
    <mergeCell ref="AJ151:AJ152"/>
    <mergeCell ref="AK151:AK152"/>
    <mergeCell ref="AL151:AL152"/>
    <mergeCell ref="AM151:AM152"/>
    <mergeCell ref="AN151:AN152"/>
    <mergeCell ref="AC151:AC152"/>
    <mergeCell ref="AD151:AD152"/>
    <mergeCell ref="AE151:AE152"/>
    <mergeCell ref="AF151:AF152"/>
    <mergeCell ref="AG151:AG152"/>
    <mergeCell ref="AH151:AH152"/>
    <mergeCell ref="W151:W152"/>
    <mergeCell ref="X151:X152"/>
    <mergeCell ref="Z151:Z152"/>
    <mergeCell ref="AA151:AA152"/>
    <mergeCell ref="AB151:AB152"/>
    <mergeCell ref="Q151:Q152"/>
    <mergeCell ref="R151:R152"/>
    <mergeCell ref="S151:S152"/>
    <mergeCell ref="T151:T152"/>
    <mergeCell ref="U151:U152"/>
    <mergeCell ref="V151:V152"/>
    <mergeCell ref="AN91:AN92"/>
    <mergeCell ref="AY91:AY92"/>
    <mergeCell ref="C151:C152"/>
    <mergeCell ref="J151:J152"/>
    <mergeCell ref="K151:K152"/>
    <mergeCell ref="L151:L152"/>
    <mergeCell ref="M151:M152"/>
    <mergeCell ref="N151:N152"/>
    <mergeCell ref="O151:O152"/>
    <mergeCell ref="AG91:AG92"/>
    <mergeCell ref="AH91:AH92"/>
    <mergeCell ref="AI91:AI92"/>
    <mergeCell ref="AJ91:AJ92"/>
    <mergeCell ref="AK91:AK92"/>
    <mergeCell ref="AL91:AL92"/>
    <mergeCell ref="AA91:AA92"/>
    <mergeCell ref="AB91:AB92"/>
    <mergeCell ref="AC91:AC92"/>
    <mergeCell ref="AD91:AD92"/>
    <mergeCell ref="AE91:AE92"/>
    <mergeCell ref="AF91:AF92"/>
    <mergeCell ref="U91:U92"/>
    <mergeCell ref="V91:V92"/>
    <mergeCell ref="Y151:Y152"/>
    <mergeCell ref="Y91:Y92"/>
    <mergeCell ref="Z91:Z92"/>
    <mergeCell ref="N91:N92"/>
    <mergeCell ref="O91:O92"/>
    <mergeCell ref="Q91:Q92"/>
    <mergeCell ref="R91:R92"/>
    <mergeCell ref="S91:S92"/>
    <mergeCell ref="T91:T92"/>
    <mergeCell ref="AM91:AM92"/>
    <mergeCell ref="AN89:AN90"/>
    <mergeCell ref="AX89:AX90"/>
    <mergeCell ref="AY89:AY90"/>
    <mergeCell ref="C91:C92"/>
    <mergeCell ref="J91:J92"/>
    <mergeCell ref="K91:K92"/>
    <mergeCell ref="L91:L92"/>
    <mergeCell ref="M91:M92"/>
    <mergeCell ref="AF89:AF90"/>
    <mergeCell ref="AG89:AG90"/>
    <mergeCell ref="AH89:AH90"/>
    <mergeCell ref="AI89:AI90"/>
    <mergeCell ref="AJ89:AJ90"/>
    <mergeCell ref="AK89:AK90"/>
    <mergeCell ref="Z89:Z90"/>
    <mergeCell ref="AA89:AA90"/>
    <mergeCell ref="AB89:AB90"/>
    <mergeCell ref="AC89:AC90"/>
    <mergeCell ref="AD89:AD90"/>
    <mergeCell ref="AE89:AE90"/>
    <mergeCell ref="M89:M90"/>
    <mergeCell ref="N89:N90"/>
    <mergeCell ref="W91:W92"/>
    <mergeCell ref="X91:X92"/>
    <mergeCell ref="V89:V90"/>
    <mergeCell ref="W89:W90"/>
    <mergeCell ref="X89:X90"/>
    <mergeCell ref="Y89:Y90"/>
    <mergeCell ref="AY93:AY94"/>
    <mergeCell ref="O89:O90"/>
    <mergeCell ref="Q89:Q90"/>
    <mergeCell ref="R89:R90"/>
    <mergeCell ref="S89:S90"/>
    <mergeCell ref="T89:T90"/>
    <mergeCell ref="U89:U90"/>
    <mergeCell ref="AL93:AL94"/>
    <mergeCell ref="AM93:AM94"/>
    <mergeCell ref="AN93:AN94"/>
    <mergeCell ref="P89:P90"/>
    <mergeCell ref="AH93:AH94"/>
    <mergeCell ref="AI93:AI94"/>
    <mergeCell ref="AJ93:AJ94"/>
    <mergeCell ref="AK93:AK94"/>
    <mergeCell ref="Q93:Q94"/>
    <mergeCell ref="R93:R94"/>
    <mergeCell ref="S93:S94"/>
    <mergeCell ref="AL89:AL90"/>
    <mergeCell ref="AM89:AM90"/>
    <mergeCell ref="AX174:AX175"/>
    <mergeCell ref="AX179:AX180"/>
    <mergeCell ref="AX148:AX149"/>
    <mergeCell ref="AX187:AX188"/>
    <mergeCell ref="AX141:AX142"/>
    <mergeCell ref="AX146:AX147"/>
    <mergeCell ref="AX93:AX94"/>
    <mergeCell ref="AX189:AX190"/>
    <mergeCell ref="P91:P92"/>
    <mergeCell ref="P93:P94"/>
    <mergeCell ref="P96:P97"/>
    <mergeCell ref="P98:P99"/>
    <mergeCell ref="P100:P101"/>
    <mergeCell ref="AX102:AX103"/>
    <mergeCell ref="AX106:AX107"/>
    <mergeCell ref="AX108:AX109"/>
    <mergeCell ref="AX124:AX125"/>
    <mergeCell ref="AX96:AX97"/>
    <mergeCell ref="AX98:AX99"/>
    <mergeCell ref="AX100:AX101"/>
    <mergeCell ref="AX91:AX92"/>
    <mergeCell ref="S187:S188"/>
    <mergeCell ref="T187:T188"/>
    <mergeCell ref="U187:U188"/>
    <mergeCell ref="W187:W188"/>
    <mergeCell ref="AM108:AM109"/>
    <mergeCell ref="AN194:AN195"/>
    <mergeCell ref="AH194:AH195"/>
    <mergeCell ref="AI194:AI195"/>
    <mergeCell ref="AJ194:AJ195"/>
    <mergeCell ref="AK194:AK195"/>
    <mergeCell ref="AL194:AL195"/>
    <mergeCell ref="AM194:AM195"/>
    <mergeCell ref="AB194:AB195"/>
    <mergeCell ref="AC194:AC195"/>
    <mergeCell ref="AD194:AD195"/>
    <mergeCell ref="AE194:AE195"/>
    <mergeCell ref="AF194:AF195"/>
    <mergeCell ref="AG194:AG195"/>
    <mergeCell ref="Z192:Z193"/>
    <mergeCell ref="AA192:AA193"/>
    <mergeCell ref="AF192:AF193"/>
    <mergeCell ref="AG192:AG193"/>
    <mergeCell ref="AH192:AH193"/>
    <mergeCell ref="AI192:AI193"/>
    <mergeCell ref="AJ192:AJ193"/>
    <mergeCell ref="AK192:AK193"/>
    <mergeCell ref="AL192:AL193"/>
    <mergeCell ref="V194:V195"/>
    <mergeCell ref="W194:W195"/>
    <mergeCell ref="X194:X195"/>
    <mergeCell ref="Y194:Y195"/>
    <mergeCell ref="Z194:Z195"/>
    <mergeCell ref="AA194:AA195"/>
    <mergeCell ref="O194:O195"/>
    <mergeCell ref="Q194:Q195"/>
    <mergeCell ref="R194:R195"/>
    <mergeCell ref="S194:S195"/>
    <mergeCell ref="T194:T195"/>
    <mergeCell ref="U194:U195"/>
    <mergeCell ref="P194:P195"/>
    <mergeCell ref="AM197:AM198"/>
    <mergeCell ref="AN197:AN198"/>
    <mergeCell ref="D191:I191"/>
    <mergeCell ref="D196:I196"/>
    <mergeCell ref="C194:C195"/>
    <mergeCell ref="J194:J195"/>
    <mergeCell ref="K194:K195"/>
    <mergeCell ref="L194:L195"/>
    <mergeCell ref="M194:M195"/>
    <mergeCell ref="N194:N195"/>
    <mergeCell ref="P197:P198"/>
    <mergeCell ref="Q192:Q193"/>
    <mergeCell ref="R192:R193"/>
    <mergeCell ref="S192:S193"/>
    <mergeCell ref="T192:T193"/>
    <mergeCell ref="U192:U193"/>
    <mergeCell ref="AB192:AB193"/>
    <mergeCell ref="AC192:AC193"/>
    <mergeCell ref="V192:V193"/>
    <mergeCell ref="W192:W193"/>
    <mergeCell ref="X192:X193"/>
    <mergeCell ref="AD192:AD193"/>
    <mergeCell ref="AE192:AE193"/>
    <mergeCell ref="Y192:Y193"/>
    <mergeCell ref="M192:M193"/>
    <mergeCell ref="N192:N193"/>
    <mergeCell ref="P192:P193"/>
    <mergeCell ref="O192:O193"/>
    <mergeCell ref="C174:C175"/>
    <mergeCell ref="J174:J175"/>
    <mergeCell ref="K174:K175"/>
    <mergeCell ref="L174:L175"/>
    <mergeCell ref="M174:M175"/>
    <mergeCell ref="N174:N175"/>
    <mergeCell ref="O174:O175"/>
    <mergeCell ref="J187:J188"/>
    <mergeCell ref="K187:K188"/>
    <mergeCell ref="L187:L188"/>
    <mergeCell ref="M187:M188"/>
    <mergeCell ref="N187:N188"/>
    <mergeCell ref="O187:O188"/>
    <mergeCell ref="D186:I186"/>
    <mergeCell ref="D172:I172"/>
    <mergeCell ref="C192:C193"/>
    <mergeCell ref="J192:J193"/>
    <mergeCell ref="K192:K193"/>
    <mergeCell ref="L192:L193"/>
    <mergeCell ref="C179:C180"/>
    <mergeCell ref="L179:L180"/>
    <mergeCell ref="C187:C188"/>
    <mergeCell ref="P108:P109"/>
    <mergeCell ref="P124:P125"/>
    <mergeCell ref="P141:P142"/>
    <mergeCell ref="P143:P144"/>
    <mergeCell ref="P146:P147"/>
    <mergeCell ref="P187:P188"/>
    <mergeCell ref="P189:P190"/>
    <mergeCell ref="P151:P152"/>
    <mergeCell ref="P157:P171"/>
    <mergeCell ref="P174:P175"/>
    <mergeCell ref="P176:P177"/>
    <mergeCell ref="P179:P180"/>
    <mergeCell ref="P148:P149"/>
    <mergeCell ref="P181:P182"/>
    <mergeCell ref="AM192:AM193"/>
    <mergeCell ref="AN192:AN193"/>
    <mergeCell ref="C197:C198"/>
    <mergeCell ref="J197:J198"/>
    <mergeCell ref="K197:K198"/>
    <mergeCell ref="L197:L198"/>
    <mergeCell ref="M197:M198"/>
    <mergeCell ref="N197:N198"/>
    <mergeCell ref="O197:O198"/>
    <mergeCell ref="Q197:Q198"/>
    <mergeCell ref="R197:R198"/>
    <mergeCell ref="S197:S198"/>
    <mergeCell ref="T197:T198"/>
    <mergeCell ref="U197:U198"/>
    <mergeCell ref="V197:V198"/>
    <mergeCell ref="W197:W198"/>
    <mergeCell ref="X197:X198"/>
    <mergeCell ref="Y197:Y198"/>
    <mergeCell ref="Z197:Z198"/>
    <mergeCell ref="AA197:AA198"/>
    <mergeCell ref="AB197:AB198"/>
    <mergeCell ref="AC197:AC198"/>
    <mergeCell ref="AD197:AD198"/>
    <mergeCell ref="AE197:AE198"/>
    <mergeCell ref="AF197:AF198"/>
    <mergeCell ref="AG197:AG198"/>
    <mergeCell ref="AH197:AH198"/>
    <mergeCell ref="AI197:AI198"/>
    <mergeCell ref="AJ197:AJ198"/>
    <mergeCell ref="AK197:AK198"/>
    <mergeCell ref="AL197:AL198"/>
    <mergeCell ref="D139:I139"/>
    <mergeCell ref="D150:I150"/>
    <mergeCell ref="AD148:AD149"/>
    <mergeCell ref="S148:S149"/>
    <mergeCell ref="T148:T149"/>
    <mergeCell ref="U148:U149"/>
    <mergeCell ref="AK179:AK180"/>
    <mergeCell ref="AL179:AL180"/>
    <mergeCell ref="AH187:AH188"/>
    <mergeCell ref="AI187:AI188"/>
    <mergeCell ref="AJ187:AJ188"/>
    <mergeCell ref="AK187:AK188"/>
    <mergeCell ref="AL187:AL188"/>
    <mergeCell ref="AF189:AF190"/>
    <mergeCell ref="AG189:AG190"/>
    <mergeCell ref="AH189:AH190"/>
    <mergeCell ref="AI189:AI190"/>
    <mergeCell ref="D105:I105"/>
    <mergeCell ref="AK108:AK109"/>
    <mergeCell ref="AL108:AL109"/>
    <mergeCell ref="AI141:AI142"/>
    <mergeCell ref="AJ141:AJ142"/>
    <mergeCell ref="AH143:AH144"/>
    <mergeCell ref="AI143:AI144"/>
    <mergeCell ref="AJ108:AJ109"/>
    <mergeCell ref="Y108:Y109"/>
    <mergeCell ref="Z108:Z109"/>
    <mergeCell ref="AA108:AA109"/>
    <mergeCell ref="AB108:AB109"/>
    <mergeCell ref="AC108:AC109"/>
    <mergeCell ref="AD108:AD109"/>
    <mergeCell ref="S108:S109"/>
    <mergeCell ref="T108:T109"/>
    <mergeCell ref="U108:U109"/>
    <mergeCell ref="V108:V109"/>
    <mergeCell ref="W108:W109"/>
    <mergeCell ref="X108:X109"/>
    <mergeCell ref="X106:X107"/>
    <mergeCell ref="Y106:Y107"/>
    <mergeCell ref="Z106:Z107"/>
    <mergeCell ref="AA106:AA107"/>
    <mergeCell ref="AN108:AN109"/>
    <mergeCell ref="AK141:AK142"/>
    <mergeCell ref="AL141:AL142"/>
    <mergeCell ref="AM141:AM142"/>
    <mergeCell ref="AN141:AN142"/>
    <mergeCell ref="AE108:AE109"/>
    <mergeCell ref="AF108:AF109"/>
    <mergeCell ref="AG108:AG109"/>
    <mergeCell ref="AH108:AH109"/>
    <mergeCell ref="AI108:AI109"/>
    <mergeCell ref="AF141:AF142"/>
    <mergeCell ref="AG141:AG142"/>
    <mergeCell ref="AH141:AH142"/>
    <mergeCell ref="AN124:AN125"/>
    <mergeCell ref="AM124:AM125"/>
    <mergeCell ref="AN106:AN107"/>
    <mergeCell ref="C108:C109"/>
    <mergeCell ref="J108:J109"/>
    <mergeCell ref="K108:K109"/>
    <mergeCell ref="L108:L109"/>
    <mergeCell ref="M108:M109"/>
    <mergeCell ref="N108:N109"/>
    <mergeCell ref="O108:O109"/>
    <mergeCell ref="Q108:Q109"/>
    <mergeCell ref="R108:R109"/>
    <mergeCell ref="AH106:AH107"/>
    <mergeCell ref="AI106:AI107"/>
    <mergeCell ref="AJ106:AJ107"/>
    <mergeCell ref="AK106:AK107"/>
    <mergeCell ref="AL106:AL107"/>
    <mergeCell ref="AM106:AM107"/>
    <mergeCell ref="AB106:AB107"/>
    <mergeCell ref="AC106:AC107"/>
    <mergeCell ref="AD106:AD107"/>
    <mergeCell ref="AE106:AE107"/>
    <mergeCell ref="AF106:AF107"/>
    <mergeCell ref="AG106:AG107"/>
    <mergeCell ref="V106:V107"/>
    <mergeCell ref="W106:W107"/>
    <mergeCell ref="O106:O107"/>
    <mergeCell ref="Q106:Q107"/>
    <mergeCell ref="R106:R107"/>
    <mergeCell ref="S106:S107"/>
    <mergeCell ref="T106:T107"/>
    <mergeCell ref="U106:U107"/>
    <mergeCell ref="C106:C107"/>
    <mergeCell ref="J106:J107"/>
    <mergeCell ref="K106:K107"/>
    <mergeCell ref="L106:L107"/>
    <mergeCell ref="M106:M107"/>
    <mergeCell ref="N106:N107"/>
    <mergeCell ref="P106:P107"/>
    <mergeCell ref="C63:O64"/>
    <mergeCell ref="C67:M67"/>
    <mergeCell ref="AK148:AK149"/>
    <mergeCell ref="AL148:AL149"/>
    <mergeCell ref="AM148:AM149"/>
    <mergeCell ref="Y148:Y149"/>
    <mergeCell ref="Z148:Z149"/>
    <mergeCell ref="AA148:AA149"/>
    <mergeCell ref="AB148:AB149"/>
    <mergeCell ref="AC148:AC149"/>
    <mergeCell ref="D127:I127"/>
    <mergeCell ref="D128:I138"/>
    <mergeCell ref="S141:S142"/>
    <mergeCell ref="T141:T142"/>
    <mergeCell ref="U141:U142"/>
    <mergeCell ref="V141:V142"/>
    <mergeCell ref="V102:V103"/>
    <mergeCell ref="W102:W103"/>
    <mergeCell ref="X102:X103"/>
    <mergeCell ref="Y102:Y103"/>
    <mergeCell ref="Z102:Z103"/>
    <mergeCell ref="AA102:AA103"/>
    <mergeCell ref="O102:O103"/>
    <mergeCell ref="Q102:Q103"/>
    <mergeCell ref="AN148:AN149"/>
    <mergeCell ref="AE148:AE149"/>
    <mergeCell ref="AF148:AF149"/>
    <mergeCell ref="AG148:AG149"/>
    <mergeCell ref="AH148:AH149"/>
    <mergeCell ref="AI148:AI149"/>
    <mergeCell ref="AJ148:AJ149"/>
    <mergeCell ref="V148:V149"/>
    <mergeCell ref="W148:W149"/>
    <mergeCell ref="X148:X149"/>
    <mergeCell ref="M157:M171"/>
    <mergeCell ref="N157:N171"/>
    <mergeCell ref="O157:O171"/>
    <mergeCell ref="C156:C171"/>
    <mergeCell ref="D156:I156"/>
    <mergeCell ref="D157:I171"/>
    <mergeCell ref="J157:J171"/>
    <mergeCell ref="K157:K171"/>
    <mergeCell ref="L157:L171"/>
    <mergeCell ref="C148:C149"/>
    <mergeCell ref="J148:J149"/>
    <mergeCell ref="K148:K149"/>
    <mergeCell ref="L148:L149"/>
    <mergeCell ref="M148:M149"/>
    <mergeCell ref="N148:N149"/>
    <mergeCell ref="O148:O149"/>
    <mergeCell ref="Q148:Q149"/>
    <mergeCell ref="R148:R149"/>
    <mergeCell ref="D232:I232"/>
    <mergeCell ref="M305:N305"/>
    <mergeCell ref="D208:I208"/>
    <mergeCell ref="Q179:Q180"/>
    <mergeCell ref="R179:R180"/>
    <mergeCell ref="J179:J180"/>
    <mergeCell ref="K179:K180"/>
    <mergeCell ref="AG208:AG212"/>
    <mergeCell ref="AH208:AH212"/>
    <mergeCell ref="D200:I200"/>
    <mergeCell ref="AG200:AG204"/>
    <mergeCell ref="AH200:AH204"/>
    <mergeCell ref="S179:S180"/>
    <mergeCell ref="T179:T180"/>
    <mergeCell ref="U179:U180"/>
    <mergeCell ref="V179:V180"/>
    <mergeCell ref="M179:M180"/>
    <mergeCell ref="N179:N180"/>
    <mergeCell ref="O179:O180"/>
    <mergeCell ref="X187:X188"/>
    <mergeCell ref="Y187:Y188"/>
    <mergeCell ref="Z187:Z188"/>
    <mergeCell ref="AF187:AF188"/>
    <mergeCell ref="AG187:AG188"/>
    <mergeCell ref="AK200:AK204"/>
    <mergeCell ref="D204:I204"/>
    <mergeCell ref="W199:W200"/>
    <mergeCell ref="AL200:AL204"/>
    <mergeCell ref="AM200:AM204"/>
    <mergeCell ref="AN200:AN204"/>
    <mergeCell ref="AK208:AK212"/>
    <mergeCell ref="AL208:AL212"/>
    <mergeCell ref="AM208:AM212"/>
    <mergeCell ref="AN208:AN212"/>
    <mergeCell ref="AJ208:AJ212"/>
    <mergeCell ref="AI208:AI212"/>
    <mergeCell ref="AI200:AI204"/>
    <mergeCell ref="AJ200:AJ204"/>
    <mergeCell ref="AM179:AM180"/>
    <mergeCell ref="AN179:AN180"/>
    <mergeCell ref="AC179:AC180"/>
    <mergeCell ref="AD179:AD180"/>
    <mergeCell ref="AE179:AE180"/>
    <mergeCell ref="AF179:AF180"/>
    <mergeCell ref="AG179:AG180"/>
    <mergeCell ref="AH179:AH180"/>
    <mergeCell ref="W179:W180"/>
    <mergeCell ref="X179:X180"/>
    <mergeCell ref="Y179:Y180"/>
    <mergeCell ref="Z179:Z180"/>
    <mergeCell ref="AA179:AA180"/>
    <mergeCell ref="AB179:AB180"/>
    <mergeCell ref="AI179:AI180"/>
    <mergeCell ref="AJ179:AJ180"/>
    <mergeCell ref="AN102:AN103"/>
    <mergeCell ref="AH102:AH103"/>
    <mergeCell ref="AI102:AI103"/>
    <mergeCell ref="AJ102:AJ103"/>
    <mergeCell ref="AK102:AK103"/>
    <mergeCell ref="AL102:AL103"/>
    <mergeCell ref="AM102:AM103"/>
    <mergeCell ref="AB102:AB103"/>
    <mergeCell ref="AC102:AC103"/>
    <mergeCell ref="AD102:AD103"/>
    <mergeCell ref="AE102:AE103"/>
    <mergeCell ref="AF102:AF103"/>
    <mergeCell ref="AG102:AG103"/>
    <mergeCell ref="R102:R103"/>
    <mergeCell ref="S102:S103"/>
    <mergeCell ref="T102:T103"/>
    <mergeCell ref="U102:U103"/>
    <mergeCell ref="C102:C103"/>
    <mergeCell ref="J102:J103"/>
    <mergeCell ref="K102:K103"/>
    <mergeCell ref="L102:L103"/>
    <mergeCell ref="M102:M103"/>
    <mergeCell ref="N102:N103"/>
    <mergeCell ref="P102:P103"/>
    <mergeCell ref="AI100:AI101"/>
    <mergeCell ref="AJ100:AJ101"/>
    <mergeCell ref="AK100:AK101"/>
    <mergeCell ref="AL100:AL101"/>
    <mergeCell ref="AM100:AM101"/>
    <mergeCell ref="AN100:AN101"/>
    <mergeCell ref="AC100:AC101"/>
    <mergeCell ref="AD100:AD101"/>
    <mergeCell ref="AE100:AE101"/>
    <mergeCell ref="AF100:AF101"/>
    <mergeCell ref="AG100:AG101"/>
    <mergeCell ref="AH100:AH101"/>
    <mergeCell ref="W100:W101"/>
    <mergeCell ref="X100:X101"/>
    <mergeCell ref="Y100:Y101"/>
    <mergeCell ref="Z100:Z101"/>
    <mergeCell ref="AA100:AA101"/>
    <mergeCell ref="AB100:AB101"/>
    <mergeCell ref="Q100:Q101"/>
    <mergeCell ref="R100:R101"/>
    <mergeCell ref="S100:S101"/>
    <mergeCell ref="T100:T101"/>
    <mergeCell ref="U100:U101"/>
    <mergeCell ref="V100:V101"/>
    <mergeCell ref="C100:C101"/>
    <mergeCell ref="J100:J101"/>
    <mergeCell ref="K100:K101"/>
    <mergeCell ref="L100:L101"/>
    <mergeCell ref="M100:M101"/>
    <mergeCell ref="N100:N101"/>
    <mergeCell ref="O100:O101"/>
    <mergeCell ref="AF93:AF94"/>
    <mergeCell ref="AG93:AG94"/>
    <mergeCell ref="T93:T94"/>
    <mergeCell ref="U93:U94"/>
    <mergeCell ref="V93:V94"/>
    <mergeCell ref="W93:W94"/>
    <mergeCell ref="Z93:Z94"/>
    <mergeCell ref="AA93:AA94"/>
    <mergeCell ref="AB93:AB94"/>
    <mergeCell ref="AC93:AC94"/>
    <mergeCell ref="AD93:AD94"/>
    <mergeCell ref="AE93:AE94"/>
    <mergeCell ref="X93:X94"/>
    <mergeCell ref="Y93:Y94"/>
    <mergeCell ref="M93:M94"/>
    <mergeCell ref="N93:N94"/>
    <mergeCell ref="O93:O94"/>
    <mergeCell ref="D76:I86"/>
    <mergeCell ref="C93:C94"/>
    <mergeCell ref="J93:J94"/>
    <mergeCell ref="K93:K94"/>
    <mergeCell ref="L93:L94"/>
    <mergeCell ref="D87:I87"/>
    <mergeCell ref="C89:C90"/>
    <mergeCell ref="J89:J90"/>
    <mergeCell ref="K89:K90"/>
    <mergeCell ref="L89:L90"/>
    <mergeCell ref="C69:M69"/>
    <mergeCell ref="C72:C73"/>
    <mergeCell ref="D72:I73"/>
    <mergeCell ref="J72:J73"/>
    <mergeCell ref="K72:K73"/>
    <mergeCell ref="L72:M72"/>
    <mergeCell ref="N72:O72"/>
    <mergeCell ref="D74:I74"/>
    <mergeCell ref="D75:I75"/>
    <mergeCell ref="N96:N97"/>
    <mergeCell ref="O96:O97"/>
    <mergeCell ref="Q96:Q97"/>
    <mergeCell ref="R96:R97"/>
    <mergeCell ref="AA187:AA188"/>
    <mergeCell ref="AB187:AB188"/>
    <mergeCell ref="AC187:AC188"/>
    <mergeCell ref="AD187:AD188"/>
    <mergeCell ref="AE187:AE188"/>
    <mergeCell ref="Z98:Z99"/>
    <mergeCell ref="AA98:AA99"/>
    <mergeCell ref="AB98:AB99"/>
    <mergeCell ref="AC98:AC99"/>
    <mergeCell ref="AD98:AD99"/>
    <mergeCell ref="AE98:AE99"/>
    <mergeCell ref="W141:W142"/>
    <mergeCell ref="X141:X142"/>
    <mergeCell ref="Y141:Y142"/>
    <mergeCell ref="Z141:Z142"/>
    <mergeCell ref="AA141:AA142"/>
    <mergeCell ref="AB141:AB142"/>
    <mergeCell ref="AC141:AC142"/>
    <mergeCell ref="AD141:AD142"/>
    <mergeCell ref="AE141:AE142"/>
    <mergeCell ref="AM187:AM188"/>
    <mergeCell ref="AN187:AN188"/>
    <mergeCell ref="C189:C190"/>
    <mergeCell ref="J189:J190"/>
    <mergeCell ref="K189:K190"/>
    <mergeCell ref="L189:L190"/>
    <mergeCell ref="M189:M190"/>
    <mergeCell ref="N189:N190"/>
    <mergeCell ref="O189:O190"/>
    <mergeCell ref="Q189:Q190"/>
    <mergeCell ref="R189:R190"/>
    <mergeCell ref="S189:S190"/>
    <mergeCell ref="T189:T190"/>
    <mergeCell ref="U189:U190"/>
    <mergeCell ref="V189:V190"/>
    <mergeCell ref="W189:W190"/>
    <mergeCell ref="X189:X190"/>
    <mergeCell ref="Y189:Y190"/>
    <mergeCell ref="Z189:Z190"/>
    <mergeCell ref="AA189:AA190"/>
    <mergeCell ref="AB189:AB190"/>
    <mergeCell ref="AC189:AC190"/>
    <mergeCell ref="AD189:AD190"/>
    <mergeCell ref="AE189:AE190"/>
    <mergeCell ref="AJ189:AJ190"/>
    <mergeCell ref="AK189:AK190"/>
    <mergeCell ref="AL189:AL190"/>
    <mergeCell ref="AM189:AM190"/>
    <mergeCell ref="AN189:AN190"/>
    <mergeCell ref="C96:C97"/>
    <mergeCell ref="J96:J97"/>
    <mergeCell ref="K96:K97"/>
    <mergeCell ref="L96:L97"/>
    <mergeCell ref="M96:M97"/>
    <mergeCell ref="S96:S97"/>
    <mergeCell ref="T96:T97"/>
    <mergeCell ref="U96:U97"/>
    <mergeCell ref="V96:V97"/>
    <mergeCell ref="W96:W97"/>
    <mergeCell ref="X96:X97"/>
    <mergeCell ref="Y96:Y97"/>
    <mergeCell ref="Z96:Z97"/>
    <mergeCell ref="AA96:AA97"/>
    <mergeCell ref="AB96:AB97"/>
    <mergeCell ref="AC96:AC97"/>
    <mergeCell ref="AD96:AD97"/>
    <mergeCell ref="AE96:AE97"/>
    <mergeCell ref="AF96:AF97"/>
    <mergeCell ref="AG96:AG97"/>
    <mergeCell ref="AH96:AH97"/>
    <mergeCell ref="AI96:AI97"/>
    <mergeCell ref="AJ96:AJ97"/>
    <mergeCell ref="AK96:AK97"/>
    <mergeCell ref="AL96:AL97"/>
    <mergeCell ref="AM96:AM97"/>
    <mergeCell ref="AN96:AN97"/>
    <mergeCell ref="C98:C99"/>
    <mergeCell ref="J98:J99"/>
    <mergeCell ref="K98:K99"/>
    <mergeCell ref="L98:L99"/>
    <mergeCell ref="M98:M99"/>
    <mergeCell ref="N98:N99"/>
    <mergeCell ref="O98:O99"/>
    <mergeCell ref="Q98:Q99"/>
    <mergeCell ref="R98:R99"/>
    <mergeCell ref="S98:S99"/>
    <mergeCell ref="T98:T99"/>
    <mergeCell ref="U98:U99"/>
    <mergeCell ref="V98:V99"/>
    <mergeCell ref="W98:W99"/>
    <mergeCell ref="X98:X99"/>
    <mergeCell ref="Y98:Y99"/>
    <mergeCell ref="AF98:AF99"/>
    <mergeCell ref="AG98:AG99"/>
    <mergeCell ref="AH98:AH99"/>
    <mergeCell ref="AI98:AI99"/>
    <mergeCell ref="AJ98:AJ99"/>
    <mergeCell ref="AK98:AK99"/>
    <mergeCell ref="AL98:AL99"/>
    <mergeCell ref="AM98:AM99"/>
    <mergeCell ref="AN98:AN99"/>
    <mergeCell ref="C141:C142"/>
    <mergeCell ref="J141:J142"/>
    <mergeCell ref="K141:K142"/>
    <mergeCell ref="L141:L142"/>
    <mergeCell ref="M141:M142"/>
    <mergeCell ref="N141:N142"/>
    <mergeCell ref="O141:O142"/>
    <mergeCell ref="Q141:Q142"/>
    <mergeCell ref="R141:R142"/>
    <mergeCell ref="C143:C144"/>
    <mergeCell ref="J143:J144"/>
    <mergeCell ref="K143:K144"/>
    <mergeCell ref="L143:L144"/>
    <mergeCell ref="M143:M144"/>
    <mergeCell ref="N143:N144"/>
    <mergeCell ref="O143:O144"/>
    <mergeCell ref="Q143:Q144"/>
    <mergeCell ref="R143:R144"/>
    <mergeCell ref="S143:S144"/>
    <mergeCell ref="T143:T144"/>
    <mergeCell ref="U143:U144"/>
    <mergeCell ref="V143:V144"/>
    <mergeCell ref="W143:W144"/>
    <mergeCell ref="X143:X144"/>
    <mergeCell ref="Y143:Y144"/>
    <mergeCell ref="Z143:Z144"/>
    <mergeCell ref="AA143:AA144"/>
    <mergeCell ref="AB143:AB144"/>
    <mergeCell ref="AC143:AC144"/>
    <mergeCell ref="AD143:AD144"/>
    <mergeCell ref="AE143:AE144"/>
    <mergeCell ref="AF143:AF144"/>
    <mergeCell ref="AG143:AG144"/>
    <mergeCell ref="AJ143:AJ144"/>
    <mergeCell ref="AK143:AK144"/>
    <mergeCell ref="AL143:AL144"/>
    <mergeCell ref="AM143:AM144"/>
    <mergeCell ref="AN143:AN144"/>
    <mergeCell ref="C146:C147"/>
    <mergeCell ref="J146:J147"/>
    <mergeCell ref="K146:K147"/>
    <mergeCell ref="L146:L147"/>
    <mergeCell ref="M146:M147"/>
    <mergeCell ref="N146:N147"/>
    <mergeCell ref="O146:O147"/>
    <mergeCell ref="Q146:Q147"/>
    <mergeCell ref="R146:R147"/>
    <mergeCell ref="S146:S147"/>
    <mergeCell ref="T146:T147"/>
    <mergeCell ref="U146:U147"/>
    <mergeCell ref="V146:V147"/>
    <mergeCell ref="W146:W147"/>
    <mergeCell ref="X146:X147"/>
    <mergeCell ref="Y146:Y147"/>
    <mergeCell ref="Z146:Z147"/>
    <mergeCell ref="AA146:AA147"/>
    <mergeCell ref="AB146:AB147"/>
    <mergeCell ref="AC146:AC147"/>
    <mergeCell ref="AD146:AD147"/>
    <mergeCell ref="AE146:AE147"/>
    <mergeCell ref="AF146:AF147"/>
    <mergeCell ref="AG146:AG147"/>
    <mergeCell ref="AH146:AH147"/>
    <mergeCell ref="AI146:AI147"/>
    <mergeCell ref="AJ146:AJ147"/>
    <mergeCell ref="AK146:AK147"/>
    <mergeCell ref="AL146:AL147"/>
    <mergeCell ref="AM146:AM147"/>
    <mergeCell ref="AN146:AN147"/>
    <mergeCell ref="AG174:AG175"/>
    <mergeCell ref="AH174:AH175"/>
    <mergeCell ref="Q174:Q175"/>
    <mergeCell ref="R174:R175"/>
    <mergeCell ref="S174:S175"/>
    <mergeCell ref="T174:T175"/>
    <mergeCell ref="U174:U175"/>
    <mergeCell ref="V174:V175"/>
    <mergeCell ref="W174:W175"/>
    <mergeCell ref="X174:X175"/>
    <mergeCell ref="Y174:Y175"/>
    <mergeCell ref="Z176:Z177"/>
    <mergeCell ref="AA176:AA177"/>
    <mergeCell ref="Z174:Z175"/>
    <mergeCell ref="AA174:AA175"/>
    <mergeCell ref="AB174:AB175"/>
    <mergeCell ref="AC174:AC175"/>
    <mergeCell ref="AD174:AD175"/>
    <mergeCell ref="AE174:AE175"/>
    <mergeCell ref="AF174:AF175"/>
    <mergeCell ref="AI176:AI177"/>
    <mergeCell ref="AJ176:AJ177"/>
    <mergeCell ref="AI174:AI175"/>
    <mergeCell ref="AJ174:AJ175"/>
    <mergeCell ref="AK174:AK175"/>
    <mergeCell ref="AL174:AL175"/>
    <mergeCell ref="AM174:AM175"/>
    <mergeCell ref="AN174:AN175"/>
    <mergeCell ref="C176:C177"/>
    <mergeCell ref="J176:J177"/>
    <mergeCell ref="K176:K177"/>
    <mergeCell ref="L176:L177"/>
    <mergeCell ref="M176:M177"/>
    <mergeCell ref="N176:N177"/>
    <mergeCell ref="O176:O177"/>
    <mergeCell ref="Q176:Q177"/>
    <mergeCell ref="R176:R177"/>
    <mergeCell ref="S176:S177"/>
    <mergeCell ref="T176:T177"/>
    <mergeCell ref="U176:U177"/>
    <mergeCell ref="V176:V177"/>
    <mergeCell ref="W176:W177"/>
    <mergeCell ref="X176:X177"/>
    <mergeCell ref="Y176:Y177"/>
    <mergeCell ref="AB181:AB182"/>
    <mergeCell ref="AC181:AC182"/>
    <mergeCell ref="AB176:AB177"/>
    <mergeCell ref="AC176:AC177"/>
    <mergeCell ref="AD176:AD177"/>
    <mergeCell ref="AE176:AE177"/>
    <mergeCell ref="AF176:AF177"/>
    <mergeCell ref="AG176:AG177"/>
    <mergeCell ref="AH176:AH177"/>
    <mergeCell ref="AK181:AK182"/>
    <mergeCell ref="AL181:AL182"/>
    <mergeCell ref="AK176:AK177"/>
    <mergeCell ref="AL176:AL177"/>
    <mergeCell ref="AM176:AM177"/>
    <mergeCell ref="AN176:AN177"/>
    <mergeCell ref="C181:C182"/>
    <mergeCell ref="J181:J182"/>
    <mergeCell ref="K181:K182"/>
    <mergeCell ref="L181:L182"/>
    <mergeCell ref="M181:M182"/>
    <mergeCell ref="N181:N182"/>
    <mergeCell ref="O181:O182"/>
    <mergeCell ref="Q181:Q182"/>
    <mergeCell ref="R181:R182"/>
    <mergeCell ref="S181:S182"/>
    <mergeCell ref="T181:T182"/>
    <mergeCell ref="U181:U182"/>
    <mergeCell ref="V181:V182"/>
    <mergeCell ref="W181:W182"/>
    <mergeCell ref="X181:X182"/>
    <mergeCell ref="Y181:Y182"/>
    <mergeCell ref="Z181:Z182"/>
    <mergeCell ref="AA181:AA182"/>
    <mergeCell ref="AM181:AM182"/>
    <mergeCell ref="AN181:AN182"/>
    <mergeCell ref="C183:C184"/>
    <mergeCell ref="J183:J184"/>
    <mergeCell ref="K183:K184"/>
    <mergeCell ref="L183:L184"/>
    <mergeCell ref="M183:M184"/>
    <mergeCell ref="N183:N184"/>
    <mergeCell ref="O183:O184"/>
    <mergeCell ref="Q183:Q184"/>
    <mergeCell ref="R183:R184"/>
    <mergeCell ref="S183:S184"/>
    <mergeCell ref="T183:T184"/>
    <mergeCell ref="P183:P184"/>
    <mergeCell ref="U183:U184"/>
    <mergeCell ref="V183:V184"/>
    <mergeCell ref="W183:W184"/>
    <mergeCell ref="X183:X184"/>
    <mergeCell ref="AI183:AI184"/>
    <mergeCell ref="AJ183:AJ184"/>
    <mergeCell ref="Y183:Y184"/>
    <mergeCell ref="Z183:Z184"/>
    <mergeCell ref="AA183:AA184"/>
    <mergeCell ref="AB183:AB184"/>
    <mergeCell ref="AC183:AC184"/>
    <mergeCell ref="AD183:AD184"/>
    <mergeCell ref="D111:I111"/>
    <mergeCell ref="D112:I122"/>
    <mergeCell ref="AK183:AK184"/>
    <mergeCell ref="AL183:AL184"/>
    <mergeCell ref="O124:O125"/>
    <mergeCell ref="Q124:Q125"/>
    <mergeCell ref="R124:R125"/>
    <mergeCell ref="S124:S125"/>
    <mergeCell ref="AF124:AF125"/>
    <mergeCell ref="AG124:AG125"/>
    <mergeCell ref="AH124:AH125"/>
    <mergeCell ref="AI124:AI125"/>
    <mergeCell ref="AJ124:AJ125"/>
    <mergeCell ref="AK124:AK125"/>
    <mergeCell ref="AL124:AL125"/>
    <mergeCell ref="AD181:AD182"/>
    <mergeCell ref="AE181:AE182"/>
    <mergeCell ref="AF181:AF182"/>
    <mergeCell ref="AG181:AG182"/>
    <mergeCell ref="AH181:AH182"/>
    <mergeCell ref="AI181:AI182"/>
    <mergeCell ref="AJ181:AJ182"/>
    <mergeCell ref="AM183:AM184"/>
    <mergeCell ref="AN183:AN184"/>
    <mergeCell ref="AE183:AE184"/>
    <mergeCell ref="AF183:AF184"/>
    <mergeCell ref="AG183:AG184"/>
    <mergeCell ref="AH183:AH184"/>
    <mergeCell ref="C124:C125"/>
    <mergeCell ref="J124:J125"/>
    <mergeCell ref="K124:K125"/>
    <mergeCell ref="L124:L125"/>
    <mergeCell ref="M124:M125"/>
    <mergeCell ref="N124:N125"/>
    <mergeCell ref="T124:T125"/>
    <mergeCell ref="U124:U125"/>
    <mergeCell ref="V124:V125"/>
    <mergeCell ref="W124:W125"/>
    <mergeCell ref="X124:X125"/>
    <mergeCell ref="Y124:Y125"/>
    <mergeCell ref="Z124:Z125"/>
    <mergeCell ref="AA124:AA125"/>
    <mergeCell ref="AB124:AB125"/>
    <mergeCell ref="AC124:AC125"/>
    <mergeCell ref="AD124:AD125"/>
    <mergeCell ref="AE124:AE125"/>
  </mergeCells>
  <hyperlinks>
    <hyperlink ref="D311" r:id="rId1" xr:uid="{3C646017-CCD2-446D-A1EF-F3D826D12C65}"/>
  </hyperlinks>
  <printOptions horizontalCentered="1"/>
  <pageMargins left="0.2" right="0.2" top="0.25" bottom="0.25" header="0.3" footer="0.3"/>
  <pageSetup paperSize="9" scale="85" orientation="portrait" r:id="rId2"/>
  <rowBreaks count="4" manualBreakCount="4">
    <brk id="110" min="2" max="14" man="1"/>
    <brk id="178" min="2" max="14" man="1"/>
    <brk id="249" min="2" max="14" man="1"/>
    <brk id="305" min="2" max="14" man="1"/>
  </rowBreaks>
  <colBreaks count="1" manualBreakCount="1">
    <brk id="1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0DCE3-3F92-4495-AD5D-B7B483A0D8B3}">
  <dimension ref="A1"/>
  <sheetViews>
    <sheetView workbookViewId="0">
      <selection activeCell="A11" sqref="A11"/>
    </sheetView>
  </sheetViews>
  <sheetFormatPr defaultRowHeight="12.75"/>
  <sheetData/>
  <phoneticPr fontId="4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94524F4A13744F9C982579EA310C2C" ma:contentTypeVersion="11" ma:contentTypeDescription="Create a new document." ma:contentTypeScope="" ma:versionID="d3188578a68f02fe53080c8cb7be878a">
  <xsd:schema xmlns:xsd="http://www.w3.org/2001/XMLSchema" xmlns:xs="http://www.w3.org/2001/XMLSchema" xmlns:p="http://schemas.microsoft.com/office/2006/metadata/properties" xmlns:ns2="77e275ac-1696-4297-b7c8-3d029f1cdf67" xmlns:ns3="3e3dc600-5104-43cb-9ca9-9e338fec4dee" targetNamespace="http://schemas.microsoft.com/office/2006/metadata/properties" ma:root="true" ma:fieldsID="1d8acab74418ed3687d5659ea06e29b2" ns2:_="" ns3:_="">
    <xsd:import namespace="77e275ac-1696-4297-b7c8-3d029f1cdf67"/>
    <xsd:import namespace="3e3dc600-5104-43cb-9ca9-9e338fec4d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e275ac-1696-4297-b7c8-3d029f1cdf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6387c8f6-a858-41ab-b029-2b6e3b1de77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3dc600-5104-43cb-9ca9-9e338fec4dee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c8d9e4db-9500-4d31-b2fe-70b2dbd11e98}" ma:internalName="TaxCatchAll" ma:showField="CatchAllData" ma:web="3e3dc600-5104-43cb-9ca9-9e338fec4de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7e275ac-1696-4297-b7c8-3d029f1cdf67">
      <Terms xmlns="http://schemas.microsoft.com/office/infopath/2007/PartnerControls"/>
    </lcf76f155ced4ddcb4097134ff3c332f>
    <TaxCatchAll xmlns="3e3dc600-5104-43cb-9ca9-9e338fec4dee" xsi:nil="true"/>
  </documentManagement>
</p:properties>
</file>

<file path=customXml/itemProps1.xml><?xml version="1.0" encoding="utf-8"?>
<ds:datastoreItem xmlns:ds="http://schemas.openxmlformats.org/officeDocument/2006/customXml" ds:itemID="{08AAA330-6A47-4C99-B42F-248A862D313E}"/>
</file>

<file path=customXml/itemProps2.xml><?xml version="1.0" encoding="utf-8"?>
<ds:datastoreItem xmlns:ds="http://schemas.openxmlformats.org/officeDocument/2006/customXml" ds:itemID="{FF09D1CF-EF23-43FC-8897-52B41DFFE138}"/>
</file>

<file path=customXml/itemProps3.xml><?xml version="1.0" encoding="utf-8"?>
<ds:datastoreItem xmlns:ds="http://schemas.openxmlformats.org/officeDocument/2006/customXml" ds:itemID="{AFCD5AAA-2B5C-439F-B706-1FB44761236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savvy</dc:creator>
  <cp:keywords/>
  <dc:description/>
  <cp:lastModifiedBy>Shekar Balasankula</cp:lastModifiedBy>
  <cp:revision/>
  <dcterms:created xsi:type="dcterms:W3CDTF">2002-10-18T14:24:20Z</dcterms:created>
  <dcterms:modified xsi:type="dcterms:W3CDTF">2025-03-04T18:11:02Z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0x010100B594524F4A13744F9C982579EA310C2C</vt:lpwstr>
  </property>
</Properties>
</file>