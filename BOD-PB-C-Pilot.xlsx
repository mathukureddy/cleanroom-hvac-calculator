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jay\Desktop\"/>
    </mc:Choice>
  </mc:AlternateContent>
  <xr:revisionPtr revIDLastSave="1" documentId="8_{DB327917-E6D2-4EAD-ACC5-15286A180752}" xr6:coauthVersionLast="47" xr6:coauthVersionMax="47" xr10:uidLastSave="{117F2BA5-5EFD-45CC-AF1E-621D21969911}"/>
  <bookViews>
    <workbookView xWindow="-120" yWindow="-120" windowWidth="29040" windowHeight="15840" firstSheet="2" activeTab="2" xr2:uid="{00000000-000D-0000-FFFF-FFFF00000000}"/>
  </bookViews>
  <sheets>
    <sheet name="Offer" sheetId="3" state="hidden" r:id="rId1"/>
    <sheet name="Macro1" sheetId="5" state="hidden" r:id="rId2"/>
    <sheet name="BOD" sheetId="4" r:id="rId3"/>
    <sheet name="Motors" sheetId="1" r:id="rId4"/>
    <sheet name="Blowers" sheetId="2" r:id="rId5"/>
  </sheets>
  <definedNames>
    <definedName name="_xlnm.Print_Area" localSheetId="2">BOD!$A$10:$BJ$145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4" l="1"/>
  <c r="AZ48" i="4"/>
  <c r="AZ49" i="4"/>
  <c r="AZ50" i="4"/>
  <c r="AZ54" i="4"/>
  <c r="AZ59" i="4"/>
  <c r="AZ60" i="4"/>
  <c r="AZ61" i="4"/>
  <c r="AZ102" i="4"/>
  <c r="AZ103" i="4"/>
  <c r="AZ104" i="4"/>
  <c r="AZ105" i="4"/>
  <c r="AZ106" i="4"/>
  <c r="AZ107" i="4"/>
  <c r="AZ111" i="4"/>
  <c r="AZ112" i="4"/>
  <c r="AZ113" i="4"/>
  <c r="AY117" i="4"/>
  <c r="AZ117" i="4"/>
  <c r="AY118" i="4"/>
  <c r="AZ118" i="4"/>
  <c r="AY119" i="4"/>
  <c r="AZ119" i="4"/>
  <c r="AY120" i="4"/>
  <c r="AZ120" i="4"/>
  <c r="AY121" i="4"/>
  <c r="AZ121" i="4"/>
  <c r="AY122" i="4"/>
  <c r="AZ122" i="4"/>
  <c r="AY123" i="4"/>
  <c r="AZ123" i="4"/>
  <c r="AY124" i="4"/>
  <c r="AZ124" i="4"/>
  <c r="AY125" i="4"/>
  <c r="AZ125" i="4"/>
  <c r="AY126" i="4"/>
  <c r="AZ126" i="4"/>
  <c r="AY127" i="4"/>
  <c r="AZ127" i="4"/>
  <c r="AY128" i="4"/>
  <c r="AZ128" i="4"/>
  <c r="AY129" i="4"/>
  <c r="AZ129" i="4"/>
  <c r="AY130" i="4"/>
  <c r="AZ130" i="4"/>
  <c r="AY131" i="4"/>
  <c r="AZ131" i="4"/>
  <c r="AY135" i="4"/>
  <c r="AZ135" i="4"/>
  <c r="AZ134" i="4"/>
  <c r="AY134" i="4"/>
  <c r="AZ116" i="4"/>
  <c r="AY116" i="4"/>
  <c r="AZ110" i="4"/>
  <c r="AZ101" i="4"/>
  <c r="AZ91" i="4"/>
  <c r="AY91" i="4"/>
  <c r="AZ84" i="4"/>
  <c r="AY84" i="4"/>
  <c r="AZ74" i="4"/>
  <c r="AY74" i="4"/>
  <c r="AZ70" i="4"/>
  <c r="AY70" i="4"/>
  <c r="AZ66" i="4"/>
  <c r="AY66" i="4"/>
  <c r="AZ58" i="4"/>
  <c r="AZ53" i="4"/>
  <c r="AZ47" i="4"/>
  <c r="AZ29" i="4"/>
  <c r="AZ30" i="4"/>
  <c r="AZ31" i="4"/>
  <c r="AZ32" i="4"/>
  <c r="AZ33" i="4"/>
  <c r="AZ42" i="4"/>
  <c r="AZ43" i="4"/>
  <c r="AZ44" i="4"/>
  <c r="AZ41" i="4"/>
  <c r="AZ36" i="4"/>
  <c r="AZ28" i="4"/>
  <c r="AZ19" i="4"/>
  <c r="AZ20" i="4"/>
  <c r="AZ21" i="4"/>
  <c r="AZ22" i="4"/>
  <c r="AZ23" i="4"/>
  <c r="AZ24" i="4"/>
  <c r="AZ25" i="4"/>
  <c r="AZ18" i="4"/>
  <c r="AY92" i="4"/>
  <c r="AZ92" i="4"/>
  <c r="BA92" i="4"/>
  <c r="AY93" i="4"/>
  <c r="AZ93" i="4"/>
  <c r="BA93" i="4"/>
  <c r="AY94" i="4"/>
  <c r="AZ94" i="4"/>
  <c r="BA94" i="4"/>
  <c r="AY95" i="4"/>
  <c r="AZ95" i="4"/>
  <c r="BA95" i="4"/>
  <c r="AY96" i="4"/>
  <c r="AZ96" i="4"/>
  <c r="BA96" i="4"/>
  <c r="AY97" i="4"/>
  <c r="AZ97" i="4"/>
  <c r="BA97" i="4"/>
  <c r="AY98" i="4"/>
  <c r="AZ98" i="4"/>
  <c r="BA98" i="4"/>
  <c r="AY85" i="4"/>
  <c r="AZ85" i="4"/>
  <c r="BA85" i="4"/>
  <c r="AY86" i="4"/>
  <c r="AZ86" i="4"/>
  <c r="BA86" i="4"/>
  <c r="AY87" i="4"/>
  <c r="AZ87" i="4"/>
  <c r="BA87" i="4"/>
  <c r="AY88" i="4"/>
  <c r="AZ88" i="4"/>
  <c r="BA88" i="4"/>
  <c r="AY75" i="4"/>
  <c r="AZ75" i="4"/>
  <c r="BA75" i="4"/>
  <c r="AY76" i="4"/>
  <c r="AZ76" i="4"/>
  <c r="BA76" i="4"/>
  <c r="AY77" i="4"/>
  <c r="AZ77" i="4"/>
  <c r="BA77" i="4"/>
  <c r="AY78" i="4"/>
  <c r="AZ78" i="4"/>
  <c r="BA78" i="4"/>
  <c r="AY79" i="4"/>
  <c r="AZ79" i="4"/>
  <c r="BA79" i="4"/>
  <c r="AY80" i="4"/>
  <c r="AZ80" i="4"/>
  <c r="BA80" i="4"/>
  <c r="AY81" i="4"/>
  <c r="AZ81" i="4"/>
  <c r="BA81" i="4"/>
  <c r="AY71" i="4"/>
  <c r="AZ71" i="4"/>
  <c r="BA71" i="4"/>
  <c r="AY67" i="4"/>
  <c r="AZ67" i="4"/>
  <c r="BA67" i="4"/>
  <c r="BA66" i="4"/>
  <c r="BA70" i="4"/>
  <c r="BA74" i="4"/>
  <c r="BA84" i="4"/>
  <c r="BA91" i="4"/>
  <c r="BA117" i="4"/>
  <c r="BA118" i="4"/>
  <c r="BA119" i="4"/>
  <c r="BA120" i="4"/>
  <c r="BA121" i="4"/>
  <c r="BA122" i="4"/>
  <c r="BA123" i="4"/>
  <c r="BA124" i="4"/>
  <c r="BA125" i="4"/>
  <c r="BA126" i="4"/>
  <c r="BA127" i="4"/>
  <c r="BA128" i="4"/>
  <c r="BA129" i="4"/>
  <c r="BA130" i="4"/>
  <c r="BA131" i="4"/>
  <c r="BA116" i="4"/>
  <c r="BA135" i="4"/>
  <c r="BA134" i="4"/>
  <c r="AX105" i="4"/>
  <c r="BA105" i="4"/>
  <c r="AX106" i="4"/>
  <c r="BA106" i="4"/>
  <c r="AX107" i="4"/>
  <c r="BA107" i="4"/>
  <c r="BA113" i="4"/>
  <c r="AX113" i="4"/>
  <c r="BA112" i="4"/>
  <c r="AX112" i="4"/>
  <c r="BA111" i="4"/>
  <c r="AX111" i="4"/>
  <c r="BA110" i="4"/>
  <c r="AX110" i="4"/>
  <c r="BA104" i="4"/>
  <c r="AX104" i="4"/>
  <c r="BA103" i="4"/>
  <c r="AX103" i="4"/>
  <c r="BA102" i="4"/>
  <c r="AX102" i="4"/>
  <c r="BA101" i="4"/>
  <c r="AX101" i="4"/>
  <c r="BA61" i="4"/>
  <c r="AX61" i="4"/>
  <c r="BA60" i="4"/>
  <c r="AX60" i="4"/>
  <c r="BA59" i="4"/>
  <c r="AX59" i="4"/>
  <c r="BA58" i="4"/>
  <c r="AX58" i="4"/>
  <c r="BA54" i="4"/>
  <c r="AX54" i="4"/>
  <c r="BA53" i="4"/>
  <c r="AX53" i="4"/>
  <c r="BA50" i="4"/>
  <c r="AX50" i="4"/>
  <c r="BA49" i="4"/>
  <c r="AX49" i="4"/>
  <c r="BA48" i="4"/>
  <c r="AX48" i="4"/>
  <c r="BA47" i="4"/>
  <c r="AX47" i="4"/>
  <c r="BA44" i="4"/>
  <c r="AX44" i="4"/>
  <c r="BA43" i="4"/>
  <c r="AX43" i="4"/>
  <c r="BA42" i="4"/>
  <c r="AX42" i="4"/>
  <c r="BA41" i="4"/>
  <c r="AX41" i="4"/>
  <c r="BA36" i="4"/>
  <c r="AX36" i="4"/>
  <c r="BA33" i="4"/>
  <c r="AX33" i="4"/>
  <c r="BA32" i="4"/>
  <c r="AX32" i="4"/>
  <c r="BA31" i="4"/>
  <c r="AX31" i="4"/>
  <c r="BA30" i="4"/>
  <c r="AX30" i="4"/>
  <c r="BA29" i="4"/>
  <c r="AX29" i="4"/>
  <c r="BA28" i="4"/>
  <c r="AX28" i="4"/>
  <c r="BA19" i="4"/>
  <c r="BA20" i="4"/>
  <c r="BA21" i="4"/>
  <c r="BA22" i="4"/>
  <c r="BA23" i="4"/>
  <c r="BA24" i="4"/>
  <c r="BA25" i="4"/>
  <c r="BA18" i="4"/>
  <c r="AX18" i="4"/>
  <c r="AX19" i="4"/>
  <c r="AX20" i="4"/>
  <c r="AX21" i="4"/>
  <c r="AX22" i="4"/>
  <c r="AX23" i="4"/>
  <c r="AX24" i="4"/>
  <c r="AX25" i="4"/>
  <c r="BI138" i="4"/>
  <c r="BE138" i="4"/>
  <c r="I72" i="4"/>
  <c r="K72" i="4"/>
  <c r="L72" i="4"/>
  <c r="O72" i="4"/>
  <c r="Q72" i="4"/>
  <c r="R72" i="4"/>
  <c r="I68" i="4"/>
  <c r="K68" i="4"/>
  <c r="L68" i="4"/>
  <c r="O68" i="4"/>
  <c r="Q68" i="4"/>
  <c r="R68" i="4"/>
  <c r="AM71" i="4"/>
  <c r="AI71" i="4"/>
  <c r="AH71" i="4"/>
  <c r="AG71" i="4"/>
  <c r="AF71" i="4"/>
  <c r="AE71" i="4"/>
  <c r="AD71" i="4"/>
  <c r="AC71" i="4"/>
  <c r="H71" i="4"/>
  <c r="J71" i="4" s="1"/>
  <c r="G71" i="4"/>
  <c r="AM67" i="4"/>
  <c r="AI67" i="4"/>
  <c r="AH67" i="4"/>
  <c r="AG67" i="4"/>
  <c r="AF67" i="4"/>
  <c r="AE67" i="4"/>
  <c r="AD67" i="4"/>
  <c r="AC67" i="4"/>
  <c r="H67" i="4"/>
  <c r="J67" i="4" s="1"/>
  <c r="G67" i="4"/>
  <c r="E13" i="5"/>
  <c r="D13" i="5"/>
  <c r="AB16" i="4"/>
  <c r="AA16" i="4"/>
  <c r="R136" i="4"/>
  <c r="Q136" i="4"/>
  <c r="O136" i="4"/>
  <c r="AM135" i="4"/>
  <c r="AI135" i="4"/>
  <c r="AH135" i="4"/>
  <c r="AG135" i="4"/>
  <c r="AF135" i="4"/>
  <c r="AE135" i="4"/>
  <c r="AD135" i="4"/>
  <c r="AC135" i="4"/>
  <c r="H135" i="4"/>
  <c r="J135" i="4" s="1"/>
  <c r="G135" i="4"/>
  <c r="AM134" i="4"/>
  <c r="AI134" i="4"/>
  <c r="AH134" i="4"/>
  <c r="AG134" i="4"/>
  <c r="AF134" i="4"/>
  <c r="AE134" i="4"/>
  <c r="AD134" i="4"/>
  <c r="AC134" i="4"/>
  <c r="S134" i="4"/>
  <c r="T134" i="4" s="1"/>
  <c r="H134" i="4"/>
  <c r="J134" i="4" s="1"/>
  <c r="G134" i="4"/>
  <c r="R132" i="4"/>
  <c r="Q132" i="4"/>
  <c r="O132" i="4"/>
  <c r="L132" i="4"/>
  <c r="K132" i="4"/>
  <c r="AM131" i="4"/>
  <c r="AI131" i="4"/>
  <c r="AH131" i="4"/>
  <c r="AG131" i="4"/>
  <c r="AF131" i="4"/>
  <c r="AE131" i="4"/>
  <c r="AD131" i="4"/>
  <c r="AC131" i="4"/>
  <c r="H131" i="4"/>
  <c r="J131" i="4" s="1"/>
  <c r="N131" i="4" s="1"/>
  <c r="G131" i="4"/>
  <c r="AM130" i="4"/>
  <c r="AI130" i="4"/>
  <c r="AH130" i="4"/>
  <c r="AG130" i="4"/>
  <c r="AF130" i="4"/>
  <c r="AE130" i="4"/>
  <c r="AD130" i="4"/>
  <c r="AC130" i="4"/>
  <c r="H130" i="4"/>
  <c r="J130" i="4" s="1"/>
  <c r="P130" i="4" s="1"/>
  <c r="AX130" i="4" s="1"/>
  <c r="G130" i="4"/>
  <c r="AM129" i="4"/>
  <c r="AI129" i="4"/>
  <c r="AH129" i="4"/>
  <c r="AG129" i="4"/>
  <c r="AF129" i="4"/>
  <c r="AE129" i="4"/>
  <c r="AD129" i="4"/>
  <c r="AC129" i="4"/>
  <c r="H129" i="4"/>
  <c r="J129" i="4" s="1"/>
  <c r="G129" i="4"/>
  <c r="AM128" i="4"/>
  <c r="AI128" i="4"/>
  <c r="AH128" i="4"/>
  <c r="AG128" i="4"/>
  <c r="AF128" i="4"/>
  <c r="AE128" i="4"/>
  <c r="AD128" i="4"/>
  <c r="AC128" i="4"/>
  <c r="H128" i="4"/>
  <c r="J128" i="4" s="1"/>
  <c r="G128" i="4"/>
  <c r="AM127" i="4"/>
  <c r="AI127" i="4"/>
  <c r="AH127" i="4"/>
  <c r="AG127" i="4"/>
  <c r="AF127" i="4"/>
  <c r="AE127" i="4"/>
  <c r="AD127" i="4"/>
  <c r="AC127" i="4"/>
  <c r="H127" i="4"/>
  <c r="J127" i="4" s="1"/>
  <c r="N127" i="4" s="1"/>
  <c r="G127" i="4"/>
  <c r="AM126" i="4"/>
  <c r="AI126" i="4"/>
  <c r="AH126" i="4"/>
  <c r="AG126" i="4"/>
  <c r="AF126" i="4"/>
  <c r="AE126" i="4"/>
  <c r="AD126" i="4"/>
  <c r="AC126" i="4"/>
  <c r="H126" i="4"/>
  <c r="J126" i="4" s="1"/>
  <c r="P126" i="4" s="1"/>
  <c r="AX126" i="4" s="1"/>
  <c r="G126" i="4"/>
  <c r="AM125" i="4"/>
  <c r="AI125" i="4"/>
  <c r="AH125" i="4"/>
  <c r="AG125" i="4"/>
  <c r="AF125" i="4"/>
  <c r="AE125" i="4"/>
  <c r="AD125" i="4"/>
  <c r="AC125" i="4"/>
  <c r="H125" i="4"/>
  <c r="J125" i="4" s="1"/>
  <c r="G125" i="4"/>
  <c r="AM124" i="4"/>
  <c r="AI124" i="4"/>
  <c r="AH124" i="4"/>
  <c r="AG124" i="4"/>
  <c r="AF124" i="4"/>
  <c r="AE124" i="4"/>
  <c r="AD124" i="4"/>
  <c r="AC124" i="4"/>
  <c r="H124" i="4"/>
  <c r="J124" i="4" s="1"/>
  <c r="G124" i="4"/>
  <c r="AM123" i="4"/>
  <c r="AI123" i="4"/>
  <c r="AH123" i="4"/>
  <c r="AG123" i="4"/>
  <c r="AF123" i="4"/>
  <c r="AE123" i="4"/>
  <c r="AD123" i="4"/>
  <c r="AC123" i="4"/>
  <c r="H123" i="4"/>
  <c r="J123" i="4" s="1"/>
  <c r="N123" i="4" s="1"/>
  <c r="G123" i="4"/>
  <c r="AM122" i="4"/>
  <c r="AI122" i="4"/>
  <c r="AH122" i="4"/>
  <c r="AG122" i="4"/>
  <c r="AF122" i="4"/>
  <c r="AE122" i="4"/>
  <c r="AD122" i="4"/>
  <c r="AC122" i="4"/>
  <c r="H122" i="4"/>
  <c r="J122" i="4" s="1"/>
  <c r="P122" i="4" s="1"/>
  <c r="AX122" i="4" s="1"/>
  <c r="G122" i="4"/>
  <c r="AM121" i="4"/>
  <c r="AI121" i="4"/>
  <c r="AH121" i="4"/>
  <c r="AG121" i="4"/>
  <c r="AF121" i="4"/>
  <c r="AE121" i="4"/>
  <c r="AD121" i="4"/>
  <c r="AC121" i="4"/>
  <c r="H121" i="4"/>
  <c r="J121" i="4" s="1"/>
  <c r="G121" i="4"/>
  <c r="AM120" i="4"/>
  <c r="AI120" i="4"/>
  <c r="AH120" i="4"/>
  <c r="AG120" i="4"/>
  <c r="AF120" i="4"/>
  <c r="AE120" i="4"/>
  <c r="AD120" i="4"/>
  <c r="AC120" i="4"/>
  <c r="H120" i="4"/>
  <c r="J120" i="4" s="1"/>
  <c r="G120" i="4"/>
  <c r="AM119" i="4"/>
  <c r="AI119" i="4"/>
  <c r="AH119" i="4"/>
  <c r="AG119" i="4"/>
  <c r="AF119" i="4"/>
  <c r="AE119" i="4"/>
  <c r="AD119" i="4"/>
  <c r="AC119" i="4"/>
  <c r="H119" i="4"/>
  <c r="J119" i="4" s="1"/>
  <c r="P119" i="4" s="1"/>
  <c r="AX119" i="4" s="1"/>
  <c r="G119" i="4"/>
  <c r="AM118" i="4"/>
  <c r="AI118" i="4"/>
  <c r="AH118" i="4"/>
  <c r="AG118" i="4"/>
  <c r="AF118" i="4"/>
  <c r="AE118" i="4"/>
  <c r="AD118" i="4"/>
  <c r="AC118" i="4"/>
  <c r="H118" i="4"/>
  <c r="J118" i="4" s="1"/>
  <c r="M118" i="4" s="1"/>
  <c r="G118" i="4"/>
  <c r="AM117" i="4"/>
  <c r="AI117" i="4"/>
  <c r="AH117" i="4"/>
  <c r="AG117" i="4"/>
  <c r="AF117" i="4"/>
  <c r="AE117" i="4"/>
  <c r="AD117" i="4"/>
  <c r="AC117" i="4"/>
  <c r="H117" i="4"/>
  <c r="J117" i="4" s="1"/>
  <c r="G117" i="4"/>
  <c r="AM116" i="4"/>
  <c r="AI116" i="4"/>
  <c r="AH116" i="4"/>
  <c r="AG116" i="4"/>
  <c r="AF116" i="4"/>
  <c r="AE116" i="4"/>
  <c r="AD116" i="4"/>
  <c r="AC116" i="4"/>
  <c r="S116" i="4"/>
  <c r="T116" i="4" s="1"/>
  <c r="H116" i="4"/>
  <c r="G116" i="4"/>
  <c r="L114" i="4"/>
  <c r="K114" i="4"/>
  <c r="AM113" i="4"/>
  <c r="AI113" i="4"/>
  <c r="AG113" i="4"/>
  <c r="AB113" i="4"/>
  <c r="AF113" i="4" s="1"/>
  <c r="H113" i="4"/>
  <c r="J113" i="4" s="1"/>
  <c r="N113" i="4" s="1"/>
  <c r="G113" i="4"/>
  <c r="AM112" i="4"/>
  <c r="AI112" i="4"/>
  <c r="AG112" i="4"/>
  <c r="AB112" i="4"/>
  <c r="AC112" i="4" s="1"/>
  <c r="H112" i="4"/>
  <c r="J112" i="4" s="1"/>
  <c r="G112" i="4"/>
  <c r="AM111" i="4"/>
  <c r="AI111" i="4"/>
  <c r="AG111" i="4"/>
  <c r="AB111" i="4"/>
  <c r="AF111" i="4" s="1"/>
  <c r="H111" i="4"/>
  <c r="J111" i="4" s="1"/>
  <c r="M111" i="4" s="1"/>
  <c r="G111" i="4"/>
  <c r="AM110" i="4"/>
  <c r="AI110" i="4"/>
  <c r="AG110" i="4"/>
  <c r="AB110" i="4"/>
  <c r="AC110" i="4" s="1"/>
  <c r="H110" i="4"/>
  <c r="G110" i="4"/>
  <c r="L108" i="4"/>
  <c r="K108" i="4"/>
  <c r="AM107" i="4"/>
  <c r="AI107" i="4"/>
  <c r="AG107" i="4"/>
  <c r="AB107" i="4"/>
  <c r="AF107" i="4" s="1"/>
  <c r="H107" i="4"/>
  <c r="J107" i="4" s="1"/>
  <c r="G107" i="4"/>
  <c r="AM106" i="4"/>
  <c r="AI106" i="4"/>
  <c r="AG106" i="4"/>
  <c r="AB106" i="4"/>
  <c r="AC106" i="4" s="1"/>
  <c r="H106" i="4"/>
  <c r="J106" i="4" s="1"/>
  <c r="G106" i="4"/>
  <c r="AM105" i="4"/>
  <c r="AI105" i="4"/>
  <c r="AG105" i="4"/>
  <c r="AB105" i="4"/>
  <c r="AH105" i="4" s="1"/>
  <c r="H105" i="4"/>
  <c r="J105" i="4" s="1"/>
  <c r="M105" i="4" s="1"/>
  <c r="G105" i="4"/>
  <c r="AM104" i="4"/>
  <c r="AI104" i="4"/>
  <c r="AG104" i="4"/>
  <c r="AB104" i="4"/>
  <c r="AF104" i="4" s="1"/>
  <c r="H104" i="4"/>
  <c r="J104" i="4" s="1"/>
  <c r="N104" i="4" s="1"/>
  <c r="G104" i="4"/>
  <c r="AM103" i="4"/>
  <c r="AI103" i="4"/>
  <c r="AG103" i="4"/>
  <c r="AB103" i="4"/>
  <c r="AF103" i="4" s="1"/>
  <c r="H103" i="4"/>
  <c r="J103" i="4" s="1"/>
  <c r="M103" i="4" s="1"/>
  <c r="G103" i="4"/>
  <c r="AM102" i="4"/>
  <c r="AI102" i="4"/>
  <c r="AG102" i="4"/>
  <c r="AB102" i="4"/>
  <c r="AF102" i="4" s="1"/>
  <c r="H102" i="4"/>
  <c r="J102" i="4" s="1"/>
  <c r="G102" i="4"/>
  <c r="AM101" i="4"/>
  <c r="AI101" i="4"/>
  <c r="AG101" i="4"/>
  <c r="AB101" i="4"/>
  <c r="AF101" i="4" s="1"/>
  <c r="H101" i="4"/>
  <c r="G101" i="4"/>
  <c r="H92" i="4"/>
  <c r="J92" i="4" s="1"/>
  <c r="H93" i="4"/>
  <c r="J93" i="4" s="1"/>
  <c r="H94" i="4"/>
  <c r="J94" i="4" s="1"/>
  <c r="H95" i="4"/>
  <c r="J95" i="4" s="1"/>
  <c r="H96" i="4"/>
  <c r="J96" i="4" s="1"/>
  <c r="H97" i="4"/>
  <c r="J97" i="4" s="1"/>
  <c r="H98" i="4"/>
  <c r="J98" i="4" s="1"/>
  <c r="H91" i="4"/>
  <c r="J91" i="4" s="1"/>
  <c r="H85" i="4"/>
  <c r="J85" i="4" s="1"/>
  <c r="H86" i="4"/>
  <c r="J86" i="4" s="1"/>
  <c r="H87" i="4"/>
  <c r="J87" i="4" s="1"/>
  <c r="H88" i="4"/>
  <c r="J88" i="4" s="1"/>
  <c r="H84" i="4"/>
  <c r="J84" i="4" s="1"/>
  <c r="H75" i="4"/>
  <c r="J75" i="4" s="1"/>
  <c r="H76" i="4"/>
  <c r="J76" i="4" s="1"/>
  <c r="H77" i="4"/>
  <c r="J77" i="4" s="1"/>
  <c r="H78" i="4"/>
  <c r="J78" i="4" s="1"/>
  <c r="H79" i="4"/>
  <c r="J79" i="4" s="1"/>
  <c r="H80" i="4"/>
  <c r="J80" i="4" s="1"/>
  <c r="H81" i="4"/>
  <c r="J81" i="4" s="1"/>
  <c r="H74" i="4"/>
  <c r="J74" i="4" s="1"/>
  <c r="H70" i="4"/>
  <c r="J70" i="4" s="1"/>
  <c r="H66" i="4"/>
  <c r="J66" i="4" s="1"/>
  <c r="J68" i="4" s="1"/>
  <c r="H59" i="4"/>
  <c r="J59" i="4" s="1"/>
  <c r="H60" i="4"/>
  <c r="J60" i="4" s="1"/>
  <c r="H61" i="4"/>
  <c r="J61" i="4" s="1"/>
  <c r="H58" i="4"/>
  <c r="J58" i="4" s="1"/>
  <c r="H54" i="4"/>
  <c r="J54" i="4" s="1"/>
  <c r="H53" i="4"/>
  <c r="J53" i="4" s="1"/>
  <c r="H48" i="4"/>
  <c r="J48" i="4" s="1"/>
  <c r="H49" i="4"/>
  <c r="J49" i="4" s="1"/>
  <c r="H50" i="4"/>
  <c r="J50" i="4" s="1"/>
  <c r="H47" i="4"/>
  <c r="J47" i="4" s="1"/>
  <c r="H42" i="4"/>
  <c r="J42" i="4" s="1"/>
  <c r="H43" i="4"/>
  <c r="J43" i="4" s="1"/>
  <c r="H44" i="4"/>
  <c r="J44" i="4" s="1"/>
  <c r="H41" i="4"/>
  <c r="J41" i="4" s="1"/>
  <c r="H36" i="4"/>
  <c r="J36" i="4" s="1"/>
  <c r="H29" i="4"/>
  <c r="J29" i="4" s="1"/>
  <c r="H30" i="4"/>
  <c r="J30" i="4" s="1"/>
  <c r="H31" i="4"/>
  <c r="J31" i="4" s="1"/>
  <c r="H32" i="4"/>
  <c r="J32" i="4" s="1"/>
  <c r="H33" i="4"/>
  <c r="J33" i="4" s="1"/>
  <c r="H28" i="4"/>
  <c r="J28" i="4" s="1"/>
  <c r="J18" i="4"/>
  <c r="H19" i="4"/>
  <c r="H20" i="4"/>
  <c r="H21" i="4"/>
  <c r="J21" i="4" s="1"/>
  <c r="H22" i="4"/>
  <c r="J22" i="4" s="1"/>
  <c r="H23" i="4"/>
  <c r="J23" i="4" s="1"/>
  <c r="H24" i="4"/>
  <c r="J24" i="4" s="1"/>
  <c r="H25" i="4"/>
  <c r="J25" i="4" s="1"/>
  <c r="BA138" i="4" l="1"/>
  <c r="Y138" i="4" s="1"/>
  <c r="AZ138" i="4"/>
  <c r="X138" i="4" s="1"/>
  <c r="J72" i="4"/>
  <c r="H68" i="4"/>
  <c r="H72" i="4"/>
  <c r="N71" i="4"/>
  <c r="P71" i="4"/>
  <c r="AX71" i="4" s="1"/>
  <c r="M71" i="4"/>
  <c r="N67" i="4"/>
  <c r="P67" i="4"/>
  <c r="AX67" i="4" s="1"/>
  <c r="M67" i="4"/>
  <c r="BJ116" i="4"/>
  <c r="BJ134" i="4"/>
  <c r="V116" i="4"/>
  <c r="U116" i="4"/>
  <c r="V134" i="4"/>
  <c r="U134" i="4"/>
  <c r="G136" i="4"/>
  <c r="AF112" i="4"/>
  <c r="AC105" i="4"/>
  <c r="H108" i="4"/>
  <c r="N135" i="4"/>
  <c r="P135" i="4"/>
  <c r="AX135" i="4" s="1"/>
  <c r="M135" i="4"/>
  <c r="J136" i="4"/>
  <c r="M134" i="4"/>
  <c r="P134" i="4"/>
  <c r="AX134" i="4" s="1"/>
  <c r="N134" i="4"/>
  <c r="H136" i="4"/>
  <c r="AE111" i="4"/>
  <c r="AE113" i="4"/>
  <c r="AC111" i="4"/>
  <c r="AH111" i="4"/>
  <c r="N118" i="4"/>
  <c r="AN118" i="4" s="1"/>
  <c r="AO118" i="4" s="1"/>
  <c r="AD103" i="4"/>
  <c r="P120" i="4"/>
  <c r="AX120" i="4" s="1"/>
  <c r="M120" i="4"/>
  <c r="P124" i="4"/>
  <c r="AX124" i="4" s="1"/>
  <c r="M124" i="4"/>
  <c r="P128" i="4"/>
  <c r="AX128" i="4" s="1"/>
  <c r="M128" i="4"/>
  <c r="AH107" i="4"/>
  <c r="AC101" i="4"/>
  <c r="AH101" i="4"/>
  <c r="AH103" i="4"/>
  <c r="AC104" i="4"/>
  <c r="AH104" i="4"/>
  <c r="AD107" i="4"/>
  <c r="G114" i="4"/>
  <c r="AD111" i="4"/>
  <c r="G108" i="4"/>
  <c r="AD101" i="4"/>
  <c r="AD104" i="4"/>
  <c r="AE107" i="4"/>
  <c r="H114" i="4"/>
  <c r="AE101" i="4"/>
  <c r="AE103" i="4"/>
  <c r="M104" i="4"/>
  <c r="AR104" i="4" s="1"/>
  <c r="AE104" i="4"/>
  <c r="J110" i="4"/>
  <c r="N110" i="4" s="1"/>
  <c r="M102" i="4"/>
  <c r="N102" i="4"/>
  <c r="N112" i="4"/>
  <c r="M112" i="4"/>
  <c r="AH102" i="4"/>
  <c r="AD102" i="4"/>
  <c r="N106" i="4"/>
  <c r="M106" i="4"/>
  <c r="N117" i="4"/>
  <c r="M117" i="4"/>
  <c r="P117" i="4"/>
  <c r="AX117" i="4" s="1"/>
  <c r="AC102" i="4"/>
  <c r="J101" i="4"/>
  <c r="AE102" i="4"/>
  <c r="N103" i="4"/>
  <c r="AQ103" i="4" s="1"/>
  <c r="N107" i="4"/>
  <c r="M107" i="4"/>
  <c r="AC103" i="4"/>
  <c r="N105" i="4"/>
  <c r="AJ105" i="4" s="1"/>
  <c r="AE105" i="4"/>
  <c r="AD106" i="4"/>
  <c r="AH106" i="4"/>
  <c r="AC107" i="4"/>
  <c r="AD110" i="4"/>
  <c r="AH110" i="4"/>
  <c r="N111" i="4"/>
  <c r="AR111" i="4" s="1"/>
  <c r="M113" i="4"/>
  <c r="AH113" i="4"/>
  <c r="AD113" i="4"/>
  <c r="AC113" i="4"/>
  <c r="G132" i="4"/>
  <c r="N119" i="4"/>
  <c r="P121" i="4"/>
  <c r="AX121" i="4" s="1"/>
  <c r="N121" i="4"/>
  <c r="M121" i="4"/>
  <c r="P125" i="4"/>
  <c r="AX125" i="4" s="1"/>
  <c r="N125" i="4"/>
  <c r="M125" i="4"/>
  <c r="P129" i="4"/>
  <c r="AX129" i="4" s="1"/>
  <c r="N129" i="4"/>
  <c r="M129" i="4"/>
  <c r="AF105" i="4"/>
  <c r="AE106" i="4"/>
  <c r="AE110" i="4"/>
  <c r="H132" i="4"/>
  <c r="J116" i="4"/>
  <c r="N122" i="4"/>
  <c r="M122" i="4"/>
  <c r="N126" i="4"/>
  <c r="M126" i="4"/>
  <c r="N130" i="4"/>
  <c r="M130" i="4"/>
  <c r="AF106" i="4"/>
  <c r="AF110" i="4"/>
  <c r="AD105" i="4"/>
  <c r="AE112" i="4"/>
  <c r="AH112" i="4"/>
  <c r="AD112" i="4"/>
  <c r="P118" i="4"/>
  <c r="AX118" i="4" s="1"/>
  <c r="M119" i="4"/>
  <c r="M123" i="4"/>
  <c r="P123" i="4"/>
  <c r="AX123" i="4" s="1"/>
  <c r="M127" i="4"/>
  <c r="P127" i="4"/>
  <c r="AX127" i="4" s="1"/>
  <c r="M131" i="4"/>
  <c r="P131" i="4"/>
  <c r="AX131" i="4" s="1"/>
  <c r="N120" i="4"/>
  <c r="N124" i="4"/>
  <c r="N128" i="4"/>
  <c r="J19" i="4"/>
  <c r="J20" i="4"/>
  <c r="M76" i="4"/>
  <c r="M80" i="4"/>
  <c r="S91" i="4"/>
  <c r="S84" i="4"/>
  <c r="S74" i="4"/>
  <c r="R82" i="4"/>
  <c r="Q82" i="4"/>
  <c r="O82" i="4"/>
  <c r="L82" i="4"/>
  <c r="K82" i="4"/>
  <c r="AM81" i="4"/>
  <c r="AI81" i="4"/>
  <c r="AG81" i="4"/>
  <c r="AH81" i="4"/>
  <c r="M81" i="4"/>
  <c r="G81" i="4"/>
  <c r="AM80" i="4"/>
  <c r="AI80" i="4"/>
  <c r="AG80" i="4"/>
  <c r="AF80" i="4"/>
  <c r="G80" i="4"/>
  <c r="AM79" i="4"/>
  <c r="AI79" i="4"/>
  <c r="AG79" i="4"/>
  <c r="AE79" i="4"/>
  <c r="AH79" i="4"/>
  <c r="M79" i="4"/>
  <c r="G79" i="4"/>
  <c r="AM78" i="4"/>
  <c r="AI78" i="4"/>
  <c r="AG78" i="4"/>
  <c r="AD78" i="4"/>
  <c r="AF78" i="4"/>
  <c r="M78" i="4"/>
  <c r="G78" i="4"/>
  <c r="AM77" i="4"/>
  <c r="AI77" i="4"/>
  <c r="AG77" i="4"/>
  <c r="AH77" i="4"/>
  <c r="M77" i="4"/>
  <c r="G77" i="4"/>
  <c r="AM76" i="4"/>
  <c r="AI76" i="4"/>
  <c r="AG76" i="4"/>
  <c r="AD76" i="4"/>
  <c r="AC76" i="4"/>
  <c r="AF76" i="4"/>
  <c r="P76" i="4"/>
  <c r="AX76" i="4" s="1"/>
  <c r="G76" i="4"/>
  <c r="AM75" i="4"/>
  <c r="AI75" i="4"/>
  <c r="AG75" i="4"/>
  <c r="AH75" i="4"/>
  <c r="M75" i="4"/>
  <c r="G75" i="4"/>
  <c r="AM74" i="4"/>
  <c r="AI74" i="4"/>
  <c r="AG74" i="4"/>
  <c r="AF74" i="4"/>
  <c r="G74" i="4"/>
  <c r="R99" i="4"/>
  <c r="Q99" i="4"/>
  <c r="O99" i="4"/>
  <c r="L99" i="4"/>
  <c r="K99" i="4"/>
  <c r="AM98" i="4"/>
  <c r="AI98" i="4"/>
  <c r="AG98" i="4"/>
  <c r="AC98" i="4"/>
  <c r="M98" i="4"/>
  <c r="G98" i="4"/>
  <c r="AM97" i="4"/>
  <c r="AI97" i="4"/>
  <c r="AG97" i="4"/>
  <c r="AF97" i="4"/>
  <c r="M97" i="4"/>
  <c r="G97" i="4"/>
  <c r="AM96" i="4"/>
  <c r="AI96" i="4"/>
  <c r="AG96" i="4"/>
  <c r="AC96" i="4"/>
  <c r="M96" i="4"/>
  <c r="G96" i="4"/>
  <c r="AM95" i="4"/>
  <c r="AI95" i="4"/>
  <c r="AG95" i="4"/>
  <c r="AF95" i="4"/>
  <c r="M95" i="4"/>
  <c r="G95" i="4"/>
  <c r="AM94" i="4"/>
  <c r="AI94" i="4"/>
  <c r="AG94" i="4"/>
  <c r="AC94" i="4"/>
  <c r="M94" i="4"/>
  <c r="G94" i="4"/>
  <c r="AM93" i="4"/>
  <c r="AI93" i="4"/>
  <c r="AG93" i="4"/>
  <c r="AF93" i="4"/>
  <c r="M93" i="4"/>
  <c r="G93" i="4"/>
  <c r="AM92" i="4"/>
  <c r="AI92" i="4"/>
  <c r="AG92" i="4"/>
  <c r="AC92" i="4"/>
  <c r="M92" i="4"/>
  <c r="G92" i="4"/>
  <c r="AM91" i="4"/>
  <c r="AI91" i="4"/>
  <c r="AG91" i="4"/>
  <c r="AF91" i="4"/>
  <c r="G91" i="4"/>
  <c r="R89" i="4"/>
  <c r="Q89" i="4"/>
  <c r="O89" i="4"/>
  <c r="L89" i="4"/>
  <c r="K89" i="4"/>
  <c r="AM88" i="4"/>
  <c r="AI88" i="4"/>
  <c r="AG88" i="4"/>
  <c r="AF88" i="4"/>
  <c r="P88" i="4"/>
  <c r="AX88" i="4" s="1"/>
  <c r="G88" i="4"/>
  <c r="AM87" i="4"/>
  <c r="AI87" i="4"/>
  <c r="AG87" i="4"/>
  <c r="AH87" i="4"/>
  <c r="M87" i="4"/>
  <c r="G87" i="4"/>
  <c r="AM86" i="4"/>
  <c r="AI86" i="4"/>
  <c r="AG86" i="4"/>
  <c r="AF86" i="4"/>
  <c r="M86" i="4"/>
  <c r="G86" i="4"/>
  <c r="AM85" i="4"/>
  <c r="AI85" i="4"/>
  <c r="AG85" i="4"/>
  <c r="AH85" i="4"/>
  <c r="P85" i="4"/>
  <c r="AX85" i="4" s="1"/>
  <c r="G85" i="4"/>
  <c r="AM84" i="4"/>
  <c r="AI84" i="4"/>
  <c r="AG84" i="4"/>
  <c r="AF84" i="4"/>
  <c r="M84" i="4"/>
  <c r="G84" i="4"/>
  <c r="AM70" i="4"/>
  <c r="AI70" i="4"/>
  <c r="AG70" i="4"/>
  <c r="AE70" i="4"/>
  <c r="P70" i="4"/>
  <c r="AX70" i="4" s="1"/>
  <c r="G70" i="4"/>
  <c r="G72" i="4" s="1"/>
  <c r="AM66" i="4"/>
  <c r="AI66" i="4"/>
  <c r="AG66" i="4"/>
  <c r="AE66" i="4"/>
  <c r="M66" i="4"/>
  <c r="G66" i="4"/>
  <c r="G68" i="4" s="1"/>
  <c r="L62" i="4"/>
  <c r="K62" i="4"/>
  <c r="AM61" i="4"/>
  <c r="AI61" i="4"/>
  <c r="AG61" i="4"/>
  <c r="AB61" i="4"/>
  <c r="AF61" i="4" s="1"/>
  <c r="N61" i="4"/>
  <c r="G61" i="4"/>
  <c r="AM60" i="4"/>
  <c r="AI60" i="4"/>
  <c r="AG60" i="4"/>
  <c r="AB60" i="4"/>
  <c r="AF60" i="4" s="1"/>
  <c r="M60" i="4"/>
  <c r="G60" i="4"/>
  <c r="AM59" i="4"/>
  <c r="AI59" i="4"/>
  <c r="AG59" i="4"/>
  <c r="AB59" i="4"/>
  <c r="AC59" i="4" s="1"/>
  <c r="M59" i="4"/>
  <c r="G59" i="4"/>
  <c r="AM58" i="4"/>
  <c r="AI58" i="4"/>
  <c r="AG58" i="4"/>
  <c r="AB58" i="4"/>
  <c r="AE58" i="4" s="1"/>
  <c r="G58" i="4"/>
  <c r="AM54" i="4"/>
  <c r="AI54" i="4"/>
  <c r="AG54" i="4"/>
  <c r="AB54" i="4"/>
  <c r="AE54" i="4" s="1"/>
  <c r="G54" i="4"/>
  <c r="L56" i="4"/>
  <c r="K56" i="4"/>
  <c r="AM53" i="4"/>
  <c r="AI53" i="4"/>
  <c r="AG53" i="4"/>
  <c r="AB53" i="4"/>
  <c r="AF53" i="4" s="1"/>
  <c r="G53" i="4"/>
  <c r="L51" i="4"/>
  <c r="K51" i="4"/>
  <c r="AM50" i="4"/>
  <c r="AI50" i="4"/>
  <c r="AG50" i="4"/>
  <c r="AB50" i="4"/>
  <c r="AH50" i="4" s="1"/>
  <c r="N50" i="4"/>
  <c r="G50" i="4"/>
  <c r="AM49" i="4"/>
  <c r="AI49" i="4"/>
  <c r="AG49" i="4"/>
  <c r="AB49" i="4"/>
  <c r="AE49" i="4" s="1"/>
  <c r="N49" i="4"/>
  <c r="G49" i="4"/>
  <c r="AM48" i="4"/>
  <c r="AI48" i="4"/>
  <c r="AG48" i="4"/>
  <c r="AB48" i="4"/>
  <c r="AF48" i="4" s="1"/>
  <c r="M48" i="4"/>
  <c r="G48" i="4"/>
  <c r="AM47" i="4"/>
  <c r="AI47" i="4"/>
  <c r="AG47" i="4"/>
  <c r="AB47" i="4"/>
  <c r="AF47" i="4" s="1"/>
  <c r="G47" i="4"/>
  <c r="L45" i="4"/>
  <c r="K45" i="4"/>
  <c r="AM44" i="4"/>
  <c r="AI44" i="4"/>
  <c r="AG44" i="4"/>
  <c r="AB44" i="4"/>
  <c r="AH44" i="4" s="1"/>
  <c r="N44" i="4"/>
  <c r="G44" i="4"/>
  <c r="AM43" i="4"/>
  <c r="AI43" i="4"/>
  <c r="AG43" i="4"/>
  <c r="AB43" i="4"/>
  <c r="AE43" i="4" s="1"/>
  <c r="N43" i="4"/>
  <c r="G43" i="4"/>
  <c r="AM42" i="4"/>
  <c r="AI42" i="4"/>
  <c r="AG42" i="4"/>
  <c r="AB42" i="4"/>
  <c r="AF42" i="4" s="1"/>
  <c r="G42" i="4"/>
  <c r="AM41" i="4"/>
  <c r="AI41" i="4"/>
  <c r="AG41" i="4"/>
  <c r="AB41" i="4"/>
  <c r="AF41" i="4" s="1"/>
  <c r="G41" i="4"/>
  <c r="L39" i="4"/>
  <c r="K39" i="4"/>
  <c r="AM36" i="4"/>
  <c r="AI36" i="4"/>
  <c r="AG36" i="4"/>
  <c r="AB36" i="4"/>
  <c r="AF36" i="4" s="1"/>
  <c r="G36" i="4"/>
  <c r="G39" i="4" s="1"/>
  <c r="L34" i="4"/>
  <c r="K34" i="4"/>
  <c r="AM33" i="4"/>
  <c r="AI33" i="4"/>
  <c r="AG33" i="4"/>
  <c r="AB33" i="4"/>
  <c r="AF33" i="4" s="1"/>
  <c r="N33" i="4"/>
  <c r="G33" i="4"/>
  <c r="AM32" i="4"/>
  <c r="AI32" i="4"/>
  <c r="AG32" i="4"/>
  <c r="AB32" i="4"/>
  <c r="AC32" i="4" s="1"/>
  <c r="N32" i="4"/>
  <c r="G32" i="4"/>
  <c r="AM31" i="4"/>
  <c r="AI31" i="4"/>
  <c r="AG31" i="4"/>
  <c r="AB31" i="4"/>
  <c r="AF31" i="4" s="1"/>
  <c r="G31" i="4"/>
  <c r="AM30" i="4"/>
  <c r="AI30" i="4"/>
  <c r="AG30" i="4"/>
  <c r="AB30" i="4"/>
  <c r="AF30" i="4" s="1"/>
  <c r="G30" i="4"/>
  <c r="AM29" i="4"/>
  <c r="AI29" i="4"/>
  <c r="AG29" i="4"/>
  <c r="AB29" i="4"/>
  <c r="AF29" i="4" s="1"/>
  <c r="G29" i="4"/>
  <c r="AM28" i="4"/>
  <c r="AI28" i="4"/>
  <c r="AG28" i="4"/>
  <c r="AB28" i="4"/>
  <c r="AF28" i="4" s="1"/>
  <c r="G28" i="4"/>
  <c r="M68" i="4" l="1"/>
  <c r="BB70" i="4"/>
  <c r="P72" i="4"/>
  <c r="AQ71" i="4"/>
  <c r="AJ71" i="4"/>
  <c r="AK71" i="4" s="1"/>
  <c r="AL71" i="4" s="1"/>
  <c r="AN71" i="4"/>
  <c r="AO71" i="4" s="1"/>
  <c r="AR71" i="4"/>
  <c r="AQ67" i="4"/>
  <c r="AN67" i="4"/>
  <c r="AO67" i="4" s="1"/>
  <c r="AJ67" i="4"/>
  <c r="AK67" i="4" s="1"/>
  <c r="AL67" i="4" s="1"/>
  <c r="AR67" i="4"/>
  <c r="T91" i="4"/>
  <c r="V91" i="4" s="1"/>
  <c r="W91" i="4" s="1"/>
  <c r="BJ91" i="4"/>
  <c r="BJ66" i="4"/>
  <c r="T74" i="4"/>
  <c r="U74" i="4" s="1"/>
  <c r="BJ74" i="4"/>
  <c r="T84" i="4"/>
  <c r="V84" i="4" s="1"/>
  <c r="W84" i="4" s="1"/>
  <c r="BJ84" i="4"/>
  <c r="W116" i="4"/>
  <c r="W134" i="4"/>
  <c r="AQ118" i="4"/>
  <c r="AQ124" i="4"/>
  <c r="AQ104" i="4"/>
  <c r="N136" i="4"/>
  <c r="BF134" i="4" s="1"/>
  <c r="AQ135" i="4"/>
  <c r="AR135" i="4"/>
  <c r="AJ135" i="4"/>
  <c r="AK135" i="4" s="1"/>
  <c r="AL135" i="4" s="1"/>
  <c r="AN135" i="4"/>
  <c r="AO135" i="4" s="1"/>
  <c r="M136" i="4"/>
  <c r="AR134" i="4"/>
  <c r="AN134" i="4"/>
  <c r="AO134" i="4" s="1"/>
  <c r="AJ134" i="4"/>
  <c r="AK134" i="4" s="1"/>
  <c r="AL134" i="4" s="1"/>
  <c r="AQ134" i="4"/>
  <c r="BB134" i="4"/>
  <c r="P136" i="4"/>
  <c r="G56" i="4"/>
  <c r="AR128" i="4"/>
  <c r="J114" i="4"/>
  <c r="AQ120" i="4"/>
  <c r="AJ104" i="4"/>
  <c r="AK104" i="4" s="1"/>
  <c r="AL104" i="4" s="1"/>
  <c r="AR118" i="4"/>
  <c r="AJ118" i="4"/>
  <c r="AK118" i="4" s="1"/>
  <c r="AL118" i="4" s="1"/>
  <c r="AN104" i="4"/>
  <c r="AO104" i="4" s="1"/>
  <c r="AQ128" i="4"/>
  <c r="M110" i="4"/>
  <c r="AN110" i="4" s="1"/>
  <c r="AO110" i="4" s="1"/>
  <c r="AK105" i="4"/>
  <c r="AL105" i="4" s="1"/>
  <c r="AV105" i="4" s="1"/>
  <c r="O105" i="4" s="1"/>
  <c r="P105" i="4" s="1"/>
  <c r="AJ128" i="4"/>
  <c r="AK128" i="4" s="1"/>
  <c r="AL128" i="4" s="1"/>
  <c r="AJ124" i="4"/>
  <c r="AK124" i="4" s="1"/>
  <c r="AL124" i="4" s="1"/>
  <c r="AJ120" i="4"/>
  <c r="AK120" i="4" s="1"/>
  <c r="AL120" i="4" s="1"/>
  <c r="N114" i="4"/>
  <c r="BF110" i="4" s="1"/>
  <c r="AQ111" i="4"/>
  <c r="AN105" i="4"/>
  <c r="AO105" i="4" s="1"/>
  <c r="AJ103" i="4"/>
  <c r="AK103" i="4" s="1"/>
  <c r="AL103" i="4" s="1"/>
  <c r="AQ112" i="4"/>
  <c r="AN112" i="4"/>
  <c r="AO112" i="4" s="1"/>
  <c r="AR112" i="4"/>
  <c r="AJ112" i="4"/>
  <c r="AK112" i="4" s="1"/>
  <c r="AL112" i="4" s="1"/>
  <c r="AJ102" i="4"/>
  <c r="AK102" i="4" s="1"/>
  <c r="AL102" i="4" s="1"/>
  <c r="AN102" i="4"/>
  <c r="AO102" i="4" s="1"/>
  <c r="AR102" i="4"/>
  <c r="AQ102" i="4"/>
  <c r="AN128" i="4"/>
  <c r="AO128" i="4" s="1"/>
  <c r="AN124" i="4"/>
  <c r="AO124" i="4" s="1"/>
  <c r="AN120" i="4"/>
  <c r="AO120" i="4" s="1"/>
  <c r="AQ122" i="4"/>
  <c r="AJ122" i="4"/>
  <c r="AK122" i="4" s="1"/>
  <c r="AL122" i="4" s="1"/>
  <c r="AR122" i="4"/>
  <c r="AN122" i="4"/>
  <c r="AO122" i="4" s="1"/>
  <c r="AJ111" i="4"/>
  <c r="AK111" i="4" s="1"/>
  <c r="AL111" i="4" s="1"/>
  <c r="AR105" i="4"/>
  <c r="AN103" i="4"/>
  <c r="AO103" i="4" s="1"/>
  <c r="AQ117" i="4"/>
  <c r="AR117" i="4"/>
  <c r="AJ117" i="4"/>
  <c r="AK117" i="4" s="1"/>
  <c r="AL117" i="4" s="1"/>
  <c r="AN117" i="4"/>
  <c r="AO117" i="4" s="1"/>
  <c r="AR106" i="4"/>
  <c r="AN106" i="4"/>
  <c r="AO106" i="4" s="1"/>
  <c r="AJ106" i="4"/>
  <c r="AK106" i="4" s="1"/>
  <c r="AL106" i="4" s="1"/>
  <c r="AQ106" i="4"/>
  <c r="AR131" i="4"/>
  <c r="AN131" i="4"/>
  <c r="AO131" i="4" s="1"/>
  <c r="AJ131" i="4"/>
  <c r="AK131" i="4" s="1"/>
  <c r="AL131" i="4" s="1"/>
  <c r="AQ131" i="4"/>
  <c r="AR127" i="4"/>
  <c r="AN127" i="4"/>
  <c r="AO127" i="4" s="1"/>
  <c r="AJ127" i="4"/>
  <c r="AK127" i="4" s="1"/>
  <c r="AL127" i="4" s="1"/>
  <c r="AQ127" i="4"/>
  <c r="AR124" i="4"/>
  <c r="AR120" i="4"/>
  <c r="AQ126" i="4"/>
  <c r="AJ126" i="4"/>
  <c r="AK126" i="4" s="1"/>
  <c r="AL126" i="4" s="1"/>
  <c r="AR126" i="4"/>
  <c r="AN126" i="4"/>
  <c r="AO126" i="4" s="1"/>
  <c r="AR129" i="4"/>
  <c r="AN129" i="4"/>
  <c r="AO129" i="4" s="1"/>
  <c r="AJ129" i="4"/>
  <c r="AK129" i="4" s="1"/>
  <c r="AL129" i="4" s="1"/>
  <c r="AQ129" i="4"/>
  <c r="AR125" i="4"/>
  <c r="AN125" i="4"/>
  <c r="AO125" i="4" s="1"/>
  <c r="AJ125" i="4"/>
  <c r="AK125" i="4" s="1"/>
  <c r="AL125" i="4" s="1"/>
  <c r="AQ125" i="4"/>
  <c r="AR121" i="4"/>
  <c r="AN121" i="4"/>
  <c r="AO121" i="4" s="1"/>
  <c r="AJ121" i="4"/>
  <c r="AK121" i="4" s="1"/>
  <c r="AL121" i="4" s="1"/>
  <c r="AQ121" i="4"/>
  <c r="AN113" i="4"/>
  <c r="AO113" i="4" s="1"/>
  <c r="AR113" i="4"/>
  <c r="AJ113" i="4"/>
  <c r="AK113" i="4" s="1"/>
  <c r="AL113" i="4" s="1"/>
  <c r="AQ113" i="4"/>
  <c r="AR107" i="4"/>
  <c r="AN107" i="4"/>
  <c r="AO107" i="4" s="1"/>
  <c r="AJ107" i="4"/>
  <c r="AK107" i="4" s="1"/>
  <c r="AL107" i="4" s="1"/>
  <c r="AQ107" i="4"/>
  <c r="AN111" i="4"/>
  <c r="AO111" i="4" s="1"/>
  <c r="AQ105" i="4"/>
  <c r="AR103" i="4"/>
  <c r="AR123" i="4"/>
  <c r="AN123" i="4"/>
  <c r="AO123" i="4" s="1"/>
  <c r="AJ123" i="4"/>
  <c r="AK123" i="4" s="1"/>
  <c r="AL123" i="4" s="1"/>
  <c r="AQ123" i="4"/>
  <c r="AR119" i="4"/>
  <c r="AN119" i="4"/>
  <c r="AO119" i="4" s="1"/>
  <c r="AJ119" i="4"/>
  <c r="AK119" i="4" s="1"/>
  <c r="AL119" i="4" s="1"/>
  <c r="AQ119" i="4"/>
  <c r="AQ130" i="4"/>
  <c r="AJ130" i="4"/>
  <c r="AK130" i="4" s="1"/>
  <c r="AL130" i="4" s="1"/>
  <c r="AR130" i="4"/>
  <c r="AN130" i="4"/>
  <c r="AO130" i="4" s="1"/>
  <c r="J132" i="4"/>
  <c r="M116" i="4"/>
  <c r="P116" i="4"/>
  <c r="AX116" i="4" s="1"/>
  <c r="N116" i="4"/>
  <c r="N132" i="4" s="1"/>
  <c r="BF116" i="4" s="1"/>
  <c r="J108" i="4"/>
  <c r="N101" i="4"/>
  <c r="N108" i="4" s="1"/>
  <c r="BF101" i="4" s="1"/>
  <c r="M101" i="4"/>
  <c r="AD60" i="4"/>
  <c r="G34" i="4"/>
  <c r="M70" i="4"/>
  <c r="M72" i="4" s="1"/>
  <c r="M85" i="4"/>
  <c r="M88" i="4"/>
  <c r="H82" i="4"/>
  <c r="P80" i="4"/>
  <c r="AX80" i="4" s="1"/>
  <c r="N80" i="4"/>
  <c r="AQ80" i="4" s="1"/>
  <c r="P78" i="4"/>
  <c r="AX78" i="4" s="1"/>
  <c r="N78" i="4"/>
  <c r="AJ78" i="4" s="1"/>
  <c r="AH74" i="4"/>
  <c r="AC74" i="4"/>
  <c r="AE77" i="4"/>
  <c r="AH80" i="4"/>
  <c r="AD74" i="4"/>
  <c r="AE75" i="4"/>
  <c r="N76" i="4"/>
  <c r="AQ76" i="4" s="1"/>
  <c r="AH78" i="4"/>
  <c r="AC80" i="4"/>
  <c r="G82" i="4"/>
  <c r="AH76" i="4"/>
  <c r="AC78" i="4"/>
  <c r="AD80" i="4"/>
  <c r="AE81" i="4"/>
  <c r="N75" i="4"/>
  <c r="P75" i="4"/>
  <c r="AX75" i="4" s="1"/>
  <c r="N79" i="4"/>
  <c r="P79" i="4"/>
  <c r="AX79" i="4" s="1"/>
  <c r="N81" i="4"/>
  <c r="P81" i="4"/>
  <c r="AX81" i="4" s="1"/>
  <c r="N77" i="4"/>
  <c r="P77" i="4"/>
  <c r="AX77" i="4" s="1"/>
  <c r="AF75" i="4"/>
  <c r="AF81" i="4"/>
  <c r="AE74" i="4"/>
  <c r="AC75" i="4"/>
  <c r="AE76" i="4"/>
  <c r="AC77" i="4"/>
  <c r="AE78" i="4"/>
  <c r="AC79" i="4"/>
  <c r="AE80" i="4"/>
  <c r="AC81" i="4"/>
  <c r="AF77" i="4"/>
  <c r="AF79" i="4"/>
  <c r="AD75" i="4"/>
  <c r="AD77" i="4"/>
  <c r="AD79" i="4"/>
  <c r="AN80" i="4"/>
  <c r="AO80" i="4" s="1"/>
  <c r="AD81" i="4"/>
  <c r="AC88" i="4"/>
  <c r="AE94" i="4"/>
  <c r="N98" i="4"/>
  <c r="AQ98" i="4" s="1"/>
  <c r="G89" i="4"/>
  <c r="AD88" i="4"/>
  <c r="P98" i="4"/>
  <c r="AX98" i="4" s="1"/>
  <c r="N92" i="4"/>
  <c r="AJ92" i="4" s="1"/>
  <c r="G62" i="4"/>
  <c r="G45" i="4"/>
  <c r="G51" i="4"/>
  <c r="H99" i="4"/>
  <c r="AE98" i="4"/>
  <c r="P66" i="4"/>
  <c r="AX66" i="4" s="1"/>
  <c r="N84" i="4"/>
  <c r="P86" i="4"/>
  <c r="AX86" i="4" s="1"/>
  <c r="N86" i="4"/>
  <c r="AJ86" i="4" s="1"/>
  <c r="AH86" i="4"/>
  <c r="AC41" i="4"/>
  <c r="H34" i="4"/>
  <c r="H45" i="4"/>
  <c r="H56" i="4"/>
  <c r="AC84" i="4"/>
  <c r="AC86" i="4"/>
  <c r="M91" i="4"/>
  <c r="AH92" i="4"/>
  <c r="N94" i="4"/>
  <c r="AN94" i="4" s="1"/>
  <c r="AO94" i="4" s="1"/>
  <c r="AD96" i="4"/>
  <c r="AH84" i="4"/>
  <c r="AH96" i="4"/>
  <c r="AD41" i="4"/>
  <c r="AD84" i="4"/>
  <c r="AD86" i="4"/>
  <c r="AE87" i="4"/>
  <c r="N88" i="4"/>
  <c r="AD92" i="4"/>
  <c r="AH94" i="4"/>
  <c r="N96" i="4"/>
  <c r="AR96" i="4" s="1"/>
  <c r="AE96" i="4"/>
  <c r="AH98" i="4"/>
  <c r="AC60" i="4"/>
  <c r="AC61" i="4"/>
  <c r="H39" i="4"/>
  <c r="H51" i="4"/>
  <c r="H62" i="4"/>
  <c r="AE85" i="4"/>
  <c r="AH88" i="4"/>
  <c r="AE92" i="4"/>
  <c r="AD94" i="4"/>
  <c r="P96" i="4"/>
  <c r="AX96" i="4" s="1"/>
  <c r="AD98" i="4"/>
  <c r="P93" i="4"/>
  <c r="AX93" i="4" s="1"/>
  <c r="N93" i="4"/>
  <c r="P95" i="4"/>
  <c r="AX95" i="4" s="1"/>
  <c r="N95" i="4"/>
  <c r="P97" i="4"/>
  <c r="AX97" i="4" s="1"/>
  <c r="N97" i="4"/>
  <c r="AE91" i="4"/>
  <c r="AH91" i="4"/>
  <c r="AD91" i="4"/>
  <c r="P92" i="4"/>
  <c r="AX92" i="4" s="1"/>
  <c r="P94" i="4"/>
  <c r="AX94" i="4" s="1"/>
  <c r="AE95" i="4"/>
  <c r="AH95" i="4"/>
  <c r="AD95" i="4"/>
  <c r="AE97" i="4"/>
  <c r="AH97" i="4"/>
  <c r="AD97" i="4"/>
  <c r="G99" i="4"/>
  <c r="AE93" i="4"/>
  <c r="AH93" i="4"/>
  <c r="AD93" i="4"/>
  <c r="AC91" i="4"/>
  <c r="AC93" i="4"/>
  <c r="AC95" i="4"/>
  <c r="AC97" i="4"/>
  <c r="AF92" i="4"/>
  <c r="AF94" i="4"/>
  <c r="AF96" i="4"/>
  <c r="AF98" i="4"/>
  <c r="N85" i="4"/>
  <c r="N87" i="4"/>
  <c r="H89" i="4"/>
  <c r="J89" i="4"/>
  <c r="P87" i="4"/>
  <c r="AX87" i="4" s="1"/>
  <c r="AF85" i="4"/>
  <c r="AF87" i="4"/>
  <c r="P84" i="4"/>
  <c r="AX84" i="4" s="1"/>
  <c r="AE84" i="4"/>
  <c r="AC85" i="4"/>
  <c r="AE86" i="4"/>
  <c r="AC87" i="4"/>
  <c r="AE88" i="4"/>
  <c r="AD85" i="4"/>
  <c r="AD87" i="4"/>
  <c r="AC70" i="4"/>
  <c r="N70" i="4"/>
  <c r="N72" i="4" s="1"/>
  <c r="BF70" i="4" s="1"/>
  <c r="AD70" i="4"/>
  <c r="AH70" i="4"/>
  <c r="AF70" i="4"/>
  <c r="AC66" i="4"/>
  <c r="N66" i="4"/>
  <c r="N68" i="4" s="1"/>
  <c r="BF66" i="4" s="1"/>
  <c r="AD66" i="4"/>
  <c r="AH66" i="4"/>
  <c r="AF66" i="4"/>
  <c r="AH59" i="4"/>
  <c r="AE41" i="4"/>
  <c r="AD59" i="4"/>
  <c r="AH60" i="4"/>
  <c r="N60" i="4"/>
  <c r="AQ60" i="4" s="1"/>
  <c r="AE59" i="4"/>
  <c r="N59" i="4"/>
  <c r="AQ59" i="4" s="1"/>
  <c r="J62" i="4"/>
  <c r="M58" i="4"/>
  <c r="AC58" i="4"/>
  <c r="AF59" i="4"/>
  <c r="AE60" i="4"/>
  <c r="M61" i="4"/>
  <c r="AD61" i="4"/>
  <c r="AH61" i="4"/>
  <c r="N58" i="4"/>
  <c r="AD58" i="4"/>
  <c r="AH58" i="4"/>
  <c r="AE61" i="4"/>
  <c r="AF58" i="4"/>
  <c r="N54" i="4"/>
  <c r="M54" i="4"/>
  <c r="J56" i="4"/>
  <c r="AC54" i="4"/>
  <c r="AF54" i="4"/>
  <c r="AD54" i="4"/>
  <c r="AH54" i="4"/>
  <c r="AE47" i="4"/>
  <c r="AD28" i="4"/>
  <c r="AD47" i="4"/>
  <c r="J51" i="4"/>
  <c r="M47" i="4"/>
  <c r="N47" i="4"/>
  <c r="M41" i="4"/>
  <c r="N41" i="4"/>
  <c r="AC42" i="4"/>
  <c r="AH48" i="4"/>
  <c r="AE50" i="4"/>
  <c r="AD42" i="4"/>
  <c r="AC48" i="4"/>
  <c r="AC53" i="4"/>
  <c r="AD36" i="4"/>
  <c r="AH41" i="4"/>
  <c r="AE44" i="4"/>
  <c r="AC47" i="4"/>
  <c r="AH47" i="4"/>
  <c r="AD48" i="4"/>
  <c r="M53" i="4"/>
  <c r="AD53" i="4"/>
  <c r="AH53" i="4"/>
  <c r="N53" i="4"/>
  <c r="AE53" i="4"/>
  <c r="M50" i="4"/>
  <c r="M49" i="4"/>
  <c r="AF49" i="4"/>
  <c r="AC49" i="4"/>
  <c r="AF50" i="4"/>
  <c r="N48" i="4"/>
  <c r="AQ48" i="4" s="1"/>
  <c r="AE48" i="4"/>
  <c r="AD49" i="4"/>
  <c r="AH49" i="4"/>
  <c r="AC50" i="4"/>
  <c r="AD50" i="4"/>
  <c r="J45" i="4"/>
  <c r="AH42" i="4"/>
  <c r="M44" i="4"/>
  <c r="M43" i="4"/>
  <c r="M42" i="4"/>
  <c r="AC43" i="4"/>
  <c r="AF44" i="4"/>
  <c r="N42" i="4"/>
  <c r="AE42" i="4"/>
  <c r="AD43" i="4"/>
  <c r="AH43" i="4"/>
  <c r="AC44" i="4"/>
  <c r="AF43" i="4"/>
  <c r="AD44" i="4"/>
  <c r="AE36" i="4"/>
  <c r="AC36" i="4"/>
  <c r="AH36" i="4"/>
  <c r="J39" i="4"/>
  <c r="N36" i="4"/>
  <c r="M36" i="4"/>
  <c r="AE28" i="4"/>
  <c r="N31" i="4"/>
  <c r="M31" i="4"/>
  <c r="J34" i="4"/>
  <c r="N28" i="4"/>
  <c r="M28" i="4"/>
  <c r="AH29" i="4"/>
  <c r="AC31" i="4"/>
  <c r="AH31" i="4"/>
  <c r="AC29" i="4"/>
  <c r="AD31" i="4"/>
  <c r="AC28" i="4"/>
  <c r="AH28" i="4"/>
  <c r="AD29" i="4"/>
  <c r="AE30" i="4"/>
  <c r="AE31" i="4"/>
  <c r="M30" i="4"/>
  <c r="N30" i="4"/>
  <c r="M33" i="4"/>
  <c r="M32" i="4"/>
  <c r="N29" i="4"/>
  <c r="AE29" i="4"/>
  <c r="AC30" i="4"/>
  <c r="AD32" i="4"/>
  <c r="AH32" i="4"/>
  <c r="AC33" i="4"/>
  <c r="M29" i="4"/>
  <c r="AD30" i="4"/>
  <c r="AH30" i="4"/>
  <c r="AE32" i="4"/>
  <c r="AD33" i="4"/>
  <c r="AH33" i="4"/>
  <c r="AF32" i="4"/>
  <c r="AE33" i="4"/>
  <c r="K26" i="4"/>
  <c r="K138" i="4" s="1"/>
  <c r="L26" i="4"/>
  <c r="L138" i="4" s="1"/>
  <c r="AM23" i="4"/>
  <c r="AI23" i="4"/>
  <c r="AG23" i="4"/>
  <c r="AB23" i="4"/>
  <c r="AE23" i="4" s="1"/>
  <c r="G23" i="4"/>
  <c r="AM22" i="4"/>
  <c r="AI22" i="4"/>
  <c r="AG22" i="4"/>
  <c r="AB22" i="4"/>
  <c r="AE22" i="4" s="1"/>
  <c r="G22" i="4"/>
  <c r="AM20" i="4"/>
  <c r="AI20" i="4"/>
  <c r="AG20" i="4"/>
  <c r="AB20" i="4"/>
  <c r="AE20" i="4" s="1"/>
  <c r="G20" i="4"/>
  <c r="AM25" i="4"/>
  <c r="AI25" i="4"/>
  <c r="AG25" i="4"/>
  <c r="AB25" i="4"/>
  <c r="AF25" i="4" s="1"/>
  <c r="G25" i="4"/>
  <c r="AM24" i="4"/>
  <c r="AI24" i="4"/>
  <c r="AG24" i="4"/>
  <c r="AB24" i="4"/>
  <c r="AC24" i="4" s="1"/>
  <c r="N24" i="4"/>
  <c r="G24" i="4"/>
  <c r="AM21" i="4"/>
  <c r="AI21" i="4"/>
  <c r="AG21" i="4"/>
  <c r="AB21" i="4"/>
  <c r="AE21" i="4" s="1"/>
  <c r="G21" i="4"/>
  <c r="AM19" i="4"/>
  <c r="AI19" i="4"/>
  <c r="AG19" i="4"/>
  <c r="AB19" i="4"/>
  <c r="AF19" i="4" s="1"/>
  <c r="G19" i="4"/>
  <c r="AM18" i="4"/>
  <c r="AI18" i="4"/>
  <c r="AG18" i="4"/>
  <c r="AF18" i="4"/>
  <c r="G18" i="4"/>
  <c r="R105" i="4" l="1"/>
  <c r="AY105" i="4"/>
  <c r="U91" i="4"/>
  <c r="BB66" i="4"/>
  <c r="P68" i="4"/>
  <c r="V74" i="4"/>
  <c r="W74" i="4" s="1"/>
  <c r="U84" i="4"/>
  <c r="AR98" i="4"/>
  <c r="AP71" i="4"/>
  <c r="AV71" i="4"/>
  <c r="AS71" i="4"/>
  <c r="AT71" i="4" s="1"/>
  <c r="AV67" i="4"/>
  <c r="AS67" i="4"/>
  <c r="AT67" i="4" s="1"/>
  <c r="AP67" i="4"/>
  <c r="BB84" i="4"/>
  <c r="AP104" i="4"/>
  <c r="AJ110" i="4"/>
  <c r="AK110" i="4" s="1"/>
  <c r="AL110" i="4" s="1"/>
  <c r="AV110" i="4" s="1"/>
  <c r="O110" i="4" s="1"/>
  <c r="AP105" i="4"/>
  <c r="AS118" i="4"/>
  <c r="AT118" i="4" s="1"/>
  <c r="AP124" i="4"/>
  <c r="AP120" i="4"/>
  <c r="AQ110" i="4"/>
  <c r="AP134" i="4"/>
  <c r="AV135" i="4"/>
  <c r="AS135" i="4"/>
  <c r="AT135" i="4" s="1"/>
  <c r="AS134" i="4"/>
  <c r="AT134" i="4" s="1"/>
  <c r="AV134" i="4"/>
  <c r="AP135" i="4"/>
  <c r="AR110" i="4"/>
  <c r="M114" i="4"/>
  <c r="AS104" i="4"/>
  <c r="AT104" i="4" s="1"/>
  <c r="Q104" i="4" s="1"/>
  <c r="AV118" i="4"/>
  <c r="AP118" i="4"/>
  <c r="AV104" i="4"/>
  <c r="O104" i="4" s="1"/>
  <c r="P104" i="4" s="1"/>
  <c r="AP111" i="4"/>
  <c r="AP128" i="4"/>
  <c r="AP119" i="4"/>
  <c r="AP123" i="4"/>
  <c r="AP125" i="4"/>
  <c r="AP130" i="4"/>
  <c r="AP126" i="4"/>
  <c r="AS106" i="4"/>
  <c r="AT106" i="4" s="1"/>
  <c r="Q106" i="4" s="1"/>
  <c r="AV106" i="4"/>
  <c r="O106" i="4" s="1"/>
  <c r="P106" i="4" s="1"/>
  <c r="AV107" i="4"/>
  <c r="O107" i="4" s="1"/>
  <c r="P107" i="4" s="1"/>
  <c r="AS107" i="4"/>
  <c r="AT107" i="4" s="1"/>
  <c r="Q107" i="4" s="1"/>
  <c r="AV112" i="4"/>
  <c r="O112" i="4" s="1"/>
  <c r="P112" i="4" s="1"/>
  <c r="AS112" i="4"/>
  <c r="AT112" i="4" s="1"/>
  <c r="Q112" i="4" s="1"/>
  <c r="AS131" i="4"/>
  <c r="AT131" i="4" s="1"/>
  <c r="AV131" i="4"/>
  <c r="AR101" i="4"/>
  <c r="AN101" i="4"/>
  <c r="AO101" i="4" s="1"/>
  <c r="AJ101" i="4"/>
  <c r="AK101" i="4" s="1"/>
  <c r="AL101" i="4" s="1"/>
  <c r="AQ101" i="4"/>
  <c r="AS103" i="4"/>
  <c r="AT103" i="4" s="1"/>
  <c r="Q103" i="4" s="1"/>
  <c r="AV103" i="4"/>
  <c r="O103" i="4" s="1"/>
  <c r="P103" i="4" s="1"/>
  <c r="AP113" i="4"/>
  <c r="AP121" i="4"/>
  <c r="AP129" i="4"/>
  <c r="AV126" i="4"/>
  <c r="AS126" i="4"/>
  <c r="AT126" i="4" s="1"/>
  <c r="AP117" i="4"/>
  <c r="AP103" i="4"/>
  <c r="AS120" i="4"/>
  <c r="AT120" i="4" s="1"/>
  <c r="AV120" i="4"/>
  <c r="AS105" i="4"/>
  <c r="AT105" i="4" s="1"/>
  <c r="Q105" i="4" s="1"/>
  <c r="AV117" i="4"/>
  <c r="AS117" i="4"/>
  <c r="AT117" i="4" s="1"/>
  <c r="AV122" i="4"/>
  <c r="AS122" i="4"/>
  <c r="AT122" i="4" s="1"/>
  <c r="AP102" i="4"/>
  <c r="AP112" i="4"/>
  <c r="AS124" i="4"/>
  <c r="AT124" i="4" s="1"/>
  <c r="AV124" i="4"/>
  <c r="AS113" i="4"/>
  <c r="AT113" i="4" s="1"/>
  <c r="Q113" i="4" s="1"/>
  <c r="AV113" i="4"/>
  <c r="O113" i="4" s="1"/>
  <c r="P113" i="4" s="1"/>
  <c r="AS127" i="4"/>
  <c r="AT127" i="4" s="1"/>
  <c r="AV127" i="4"/>
  <c r="P132" i="4"/>
  <c r="BB116" i="4"/>
  <c r="AS119" i="4"/>
  <c r="AT119" i="4" s="1"/>
  <c r="AV119" i="4"/>
  <c r="AS123" i="4"/>
  <c r="AT123" i="4" s="1"/>
  <c r="AV123" i="4"/>
  <c r="AP107" i="4"/>
  <c r="AP127" i="4"/>
  <c r="AP131" i="4"/>
  <c r="AP106" i="4"/>
  <c r="AV111" i="4"/>
  <c r="O111" i="4" s="1"/>
  <c r="P111" i="4" s="1"/>
  <c r="AS111" i="4"/>
  <c r="AT111" i="4" s="1"/>
  <c r="Q111" i="4" s="1"/>
  <c r="AS128" i="4"/>
  <c r="AT128" i="4" s="1"/>
  <c r="AV128" i="4"/>
  <c r="AV102" i="4"/>
  <c r="O102" i="4" s="1"/>
  <c r="P102" i="4" s="1"/>
  <c r="AS102" i="4"/>
  <c r="AT102" i="4" s="1"/>
  <c r="Q102" i="4" s="1"/>
  <c r="M108" i="4"/>
  <c r="AR108" i="4" s="1"/>
  <c r="M132" i="4"/>
  <c r="AR116" i="4"/>
  <c r="AN116" i="4"/>
  <c r="AO116" i="4" s="1"/>
  <c r="AJ116" i="4"/>
  <c r="AK116" i="4" s="1"/>
  <c r="AL116" i="4" s="1"/>
  <c r="AQ116" i="4"/>
  <c r="AV130" i="4"/>
  <c r="AS130" i="4"/>
  <c r="AT130" i="4" s="1"/>
  <c r="AV121" i="4"/>
  <c r="AS121" i="4"/>
  <c r="AT121" i="4" s="1"/>
  <c r="AV125" i="4"/>
  <c r="AS125" i="4"/>
  <c r="AT125" i="4" s="1"/>
  <c r="AV129" i="4"/>
  <c r="AS129" i="4"/>
  <c r="AT129" i="4" s="1"/>
  <c r="AP122" i="4"/>
  <c r="AQ96" i="4"/>
  <c r="AN92" i="4"/>
  <c r="AO92" i="4" s="1"/>
  <c r="AJ96" i="4"/>
  <c r="AK96" i="4" s="1"/>
  <c r="AL96" i="4" s="1"/>
  <c r="AV96" i="4" s="1"/>
  <c r="AR92" i="4"/>
  <c r="G26" i="4"/>
  <c r="G138" i="4" s="1"/>
  <c r="N91" i="4"/>
  <c r="AQ91" i="4" s="1"/>
  <c r="P91" i="4"/>
  <c r="AN76" i="4"/>
  <c r="AO76" i="4" s="1"/>
  <c r="AJ80" i="4"/>
  <c r="AK80" i="4" s="1"/>
  <c r="AL80" i="4" s="1"/>
  <c r="J82" i="4"/>
  <c r="M74" i="4"/>
  <c r="M82" i="4" s="1"/>
  <c r="AJ59" i="4"/>
  <c r="AK59" i="4" s="1"/>
  <c r="AL59" i="4" s="1"/>
  <c r="J99" i="4"/>
  <c r="AJ76" i="4"/>
  <c r="AK76" i="4" s="1"/>
  <c r="AL76" i="4" s="1"/>
  <c r="AV76" i="4" s="1"/>
  <c r="AQ78" i="4"/>
  <c r="AN78" i="4"/>
  <c r="AO78" i="4" s="1"/>
  <c r="P74" i="4"/>
  <c r="AN41" i="4"/>
  <c r="AO41" i="4" s="1"/>
  <c r="AR84" i="4"/>
  <c r="N74" i="4"/>
  <c r="N82" i="4" s="1"/>
  <c r="BF74" i="4" s="1"/>
  <c r="AR76" i="4"/>
  <c r="AR78" i="4"/>
  <c r="AR80" i="4"/>
  <c r="AK78" i="4"/>
  <c r="AL78" i="4" s="1"/>
  <c r="AV78" i="4" s="1"/>
  <c r="AR77" i="4"/>
  <c r="AN77" i="4"/>
  <c r="AO77" i="4" s="1"/>
  <c r="AJ77" i="4"/>
  <c r="AK77" i="4" s="1"/>
  <c r="AL77" i="4" s="1"/>
  <c r="AQ77" i="4"/>
  <c r="AN81" i="4"/>
  <c r="AO81" i="4" s="1"/>
  <c r="AR81" i="4"/>
  <c r="AJ81" i="4"/>
  <c r="AK81" i="4" s="1"/>
  <c r="AL81" i="4" s="1"/>
  <c r="AQ81" i="4"/>
  <c r="AR75" i="4"/>
  <c r="AN75" i="4"/>
  <c r="AO75" i="4" s="1"/>
  <c r="AJ75" i="4"/>
  <c r="AK75" i="4" s="1"/>
  <c r="AL75" i="4" s="1"/>
  <c r="AQ75" i="4"/>
  <c r="AN79" i="4"/>
  <c r="AO79" i="4" s="1"/>
  <c r="AQ79" i="4"/>
  <c r="AR79" i="4"/>
  <c r="AJ79" i="4"/>
  <c r="AK79" i="4" s="1"/>
  <c r="AL79" i="4" s="1"/>
  <c r="AJ98" i="4"/>
  <c r="AK98" i="4" s="1"/>
  <c r="AL98" i="4" s="1"/>
  <c r="AV98" i="4" s="1"/>
  <c r="AQ92" i="4"/>
  <c r="AK92" i="4"/>
  <c r="AL92" i="4" s="1"/>
  <c r="AV92" i="4" s="1"/>
  <c r="AN88" i="4"/>
  <c r="AO88" i="4" s="1"/>
  <c r="AN84" i="4"/>
  <c r="AO84" i="4" s="1"/>
  <c r="AN98" i="4"/>
  <c r="AO98" i="4" s="1"/>
  <c r="AK86" i="4"/>
  <c r="AL86" i="4" s="1"/>
  <c r="AV86" i="4" s="1"/>
  <c r="AQ84" i="4"/>
  <c r="AQ86" i="4"/>
  <c r="AR88" i="4"/>
  <c r="AJ84" i="4"/>
  <c r="AK84" i="4" s="1"/>
  <c r="AL84" i="4" s="1"/>
  <c r="N89" i="4"/>
  <c r="BF84" i="4" s="1"/>
  <c r="AR94" i="4"/>
  <c r="AQ94" i="4"/>
  <c r="AN36" i="4"/>
  <c r="AO36" i="4" s="1"/>
  <c r="AN31" i="4"/>
  <c r="AO31" i="4" s="1"/>
  <c r="AJ47" i="4"/>
  <c r="AK47" i="4" s="1"/>
  <c r="AL47" i="4" s="1"/>
  <c r="AV47" i="4" s="1"/>
  <c r="O47" i="4" s="1"/>
  <c r="AJ88" i="4"/>
  <c r="AK88" i="4" s="1"/>
  <c r="AL88" i="4" s="1"/>
  <c r="AR86" i="4"/>
  <c r="AN96" i="4"/>
  <c r="AO96" i="4" s="1"/>
  <c r="AJ94" i="4"/>
  <c r="AK94" i="4" s="1"/>
  <c r="AL94" i="4" s="1"/>
  <c r="AV94" i="4" s="1"/>
  <c r="AQ88" i="4"/>
  <c r="AN86" i="4"/>
  <c r="AO86" i="4" s="1"/>
  <c r="P89" i="4"/>
  <c r="AQ93" i="4"/>
  <c r="AJ93" i="4"/>
  <c r="AK93" i="4" s="1"/>
  <c r="AL93" i="4" s="1"/>
  <c r="AN93" i="4"/>
  <c r="AO93" i="4" s="1"/>
  <c r="AR93" i="4"/>
  <c r="M99" i="4"/>
  <c r="AQ95" i="4"/>
  <c r="AJ95" i="4"/>
  <c r="AK95" i="4" s="1"/>
  <c r="AL95" i="4" s="1"/>
  <c r="AN95" i="4"/>
  <c r="AO95" i="4" s="1"/>
  <c r="AR95" i="4"/>
  <c r="AQ97" i="4"/>
  <c r="AJ97" i="4"/>
  <c r="AK97" i="4" s="1"/>
  <c r="AL97" i="4" s="1"/>
  <c r="AN97" i="4"/>
  <c r="AO97" i="4" s="1"/>
  <c r="AR97" i="4"/>
  <c r="AR87" i="4"/>
  <c r="AN87" i="4"/>
  <c r="AO87" i="4" s="1"/>
  <c r="AJ87" i="4"/>
  <c r="AK87" i="4" s="1"/>
  <c r="AL87" i="4" s="1"/>
  <c r="AQ87" i="4"/>
  <c r="AJ85" i="4"/>
  <c r="AK85" i="4" s="1"/>
  <c r="AL85" i="4" s="1"/>
  <c r="AR85" i="4"/>
  <c r="AN85" i="4"/>
  <c r="AO85" i="4" s="1"/>
  <c r="AQ85" i="4"/>
  <c r="M89" i="4"/>
  <c r="AQ70" i="4"/>
  <c r="AR70" i="4"/>
  <c r="AN70" i="4"/>
  <c r="AO70" i="4" s="1"/>
  <c r="AJ70" i="4"/>
  <c r="AK70" i="4" s="1"/>
  <c r="AL70" i="4" s="1"/>
  <c r="AQ66" i="4"/>
  <c r="AN66" i="4"/>
  <c r="AO66" i="4" s="1"/>
  <c r="AR66" i="4"/>
  <c r="AJ66" i="4"/>
  <c r="AK66" i="4" s="1"/>
  <c r="AL66" i="4" s="1"/>
  <c r="AR31" i="4"/>
  <c r="AR47" i="4"/>
  <c r="AN47" i="4"/>
  <c r="AO47" i="4" s="1"/>
  <c r="N56" i="4"/>
  <c r="BF53" i="4" s="1"/>
  <c r="AN59" i="4"/>
  <c r="AO59" i="4" s="1"/>
  <c r="AJ60" i="4"/>
  <c r="AK60" i="4" s="1"/>
  <c r="AL60" i="4" s="1"/>
  <c r="AV60" i="4" s="1"/>
  <c r="O60" i="4" s="1"/>
  <c r="P60" i="4" s="1"/>
  <c r="AN60" i="4"/>
  <c r="AO60" i="4" s="1"/>
  <c r="AR59" i="4"/>
  <c r="AR61" i="4"/>
  <c r="AN61" i="4"/>
  <c r="AO61" i="4" s="1"/>
  <c r="AJ61" i="4"/>
  <c r="AK61" i="4" s="1"/>
  <c r="AL61" i="4" s="1"/>
  <c r="AQ61" i="4"/>
  <c r="AQ58" i="4"/>
  <c r="AR58" i="4"/>
  <c r="M62" i="4"/>
  <c r="AN58" i="4"/>
  <c r="AO58" i="4" s="1"/>
  <c r="AJ58" i="4"/>
  <c r="AK58" i="4" s="1"/>
  <c r="AL58" i="4" s="1"/>
  <c r="AR60" i="4"/>
  <c r="N62" i="4"/>
  <c r="BF58" i="4" s="1"/>
  <c r="M25" i="4"/>
  <c r="N25" i="4"/>
  <c r="AQ54" i="4"/>
  <c r="AR54" i="4"/>
  <c r="AJ54" i="4"/>
  <c r="AK54" i="4" s="1"/>
  <c r="AL54" i="4" s="1"/>
  <c r="AN54" i="4"/>
  <c r="AO54" i="4" s="1"/>
  <c r="AQ47" i="4"/>
  <c r="AR41" i="4"/>
  <c r="AJ41" i="4"/>
  <c r="AK41" i="4" s="1"/>
  <c r="AL41" i="4" s="1"/>
  <c r="AQ41" i="4"/>
  <c r="AR53" i="4"/>
  <c r="AN53" i="4"/>
  <c r="AO53" i="4" s="1"/>
  <c r="AJ53" i="4"/>
  <c r="AK53" i="4" s="1"/>
  <c r="AL53" i="4" s="1"/>
  <c r="M56" i="4"/>
  <c r="AQ53" i="4"/>
  <c r="N51" i="4"/>
  <c r="BF47" i="4" s="1"/>
  <c r="AJ48" i="4"/>
  <c r="AK48" i="4" s="1"/>
  <c r="AL48" i="4" s="1"/>
  <c r="AQ50" i="4"/>
  <c r="AR50" i="4"/>
  <c r="AN50" i="4"/>
  <c r="AO50" i="4" s="1"/>
  <c r="AJ50" i="4"/>
  <c r="AK50" i="4" s="1"/>
  <c r="AL50" i="4" s="1"/>
  <c r="AQ49" i="4"/>
  <c r="AJ49" i="4"/>
  <c r="AK49" i="4" s="1"/>
  <c r="AL49" i="4" s="1"/>
  <c r="AR49" i="4"/>
  <c r="AN49" i="4"/>
  <c r="AO49" i="4" s="1"/>
  <c r="AN48" i="4"/>
  <c r="AO48" i="4" s="1"/>
  <c r="AR48" i="4"/>
  <c r="M51" i="4"/>
  <c r="N45" i="4"/>
  <c r="BF41" i="4" s="1"/>
  <c r="AR42" i="4"/>
  <c r="AN42" i="4"/>
  <c r="AO42" i="4" s="1"/>
  <c r="AJ42" i="4"/>
  <c r="AK42" i="4" s="1"/>
  <c r="AL42" i="4" s="1"/>
  <c r="AQ42" i="4"/>
  <c r="M45" i="4"/>
  <c r="AQ43" i="4"/>
  <c r="AN43" i="4"/>
  <c r="AO43" i="4" s="1"/>
  <c r="AR43" i="4"/>
  <c r="AJ43" i="4"/>
  <c r="AK43" i="4" s="1"/>
  <c r="AL43" i="4" s="1"/>
  <c r="AQ44" i="4"/>
  <c r="AR44" i="4"/>
  <c r="AN44" i="4"/>
  <c r="AO44" i="4" s="1"/>
  <c r="AJ44" i="4"/>
  <c r="AK44" i="4" s="1"/>
  <c r="AL44" i="4" s="1"/>
  <c r="AJ31" i="4"/>
  <c r="AK31" i="4" s="1"/>
  <c r="AL31" i="4" s="1"/>
  <c r="AR28" i="4"/>
  <c r="AJ36" i="4"/>
  <c r="AK36" i="4" s="1"/>
  <c r="AL36" i="4" s="1"/>
  <c r="AV36" i="4" s="1"/>
  <c r="O36" i="4" s="1"/>
  <c r="AQ36" i="4"/>
  <c r="N39" i="4"/>
  <c r="BF36" i="4" s="1"/>
  <c r="AR36" i="4"/>
  <c r="M39" i="4"/>
  <c r="AN28" i="4"/>
  <c r="AO28" i="4" s="1"/>
  <c r="AJ28" i="4"/>
  <c r="AK28" i="4" s="1"/>
  <c r="AL28" i="4" s="1"/>
  <c r="AV28" i="4" s="1"/>
  <c r="O28" i="4" s="1"/>
  <c r="M34" i="4"/>
  <c r="AQ31" i="4"/>
  <c r="N34" i="4"/>
  <c r="BF28" i="4" s="1"/>
  <c r="AC18" i="4"/>
  <c r="AD18" i="4"/>
  <c r="AQ28" i="4"/>
  <c r="AR30" i="4"/>
  <c r="AN30" i="4"/>
  <c r="AO30" i="4" s="1"/>
  <c r="AJ30" i="4"/>
  <c r="AK30" i="4" s="1"/>
  <c r="AL30" i="4" s="1"/>
  <c r="AQ30" i="4"/>
  <c r="AR33" i="4"/>
  <c r="AN33" i="4"/>
  <c r="AO33" i="4" s="1"/>
  <c r="AJ33" i="4"/>
  <c r="AK33" i="4" s="1"/>
  <c r="AL33" i="4" s="1"/>
  <c r="AQ33" i="4"/>
  <c r="AR29" i="4"/>
  <c r="AN29" i="4"/>
  <c r="AO29" i="4" s="1"/>
  <c r="AJ29" i="4"/>
  <c r="AK29" i="4" s="1"/>
  <c r="AL29" i="4" s="1"/>
  <c r="AQ29" i="4"/>
  <c r="AR32" i="4"/>
  <c r="AN32" i="4"/>
  <c r="AO32" i="4" s="1"/>
  <c r="AJ32" i="4"/>
  <c r="AK32" i="4" s="1"/>
  <c r="AL32" i="4" s="1"/>
  <c r="AQ32" i="4"/>
  <c r="N23" i="4"/>
  <c r="M23" i="4"/>
  <c r="AC23" i="4"/>
  <c r="AD23" i="4"/>
  <c r="AH23" i="4"/>
  <c r="AF23" i="4"/>
  <c r="N22" i="4"/>
  <c r="M22" i="4"/>
  <c r="AC22" i="4"/>
  <c r="AF22" i="4"/>
  <c r="AD22" i="4"/>
  <c r="AH22" i="4"/>
  <c r="N20" i="4"/>
  <c r="M20" i="4"/>
  <c r="AC20" i="4"/>
  <c r="AD20" i="4"/>
  <c r="AH20" i="4"/>
  <c r="AF20" i="4"/>
  <c r="AC19" i="4"/>
  <c r="AH24" i="4"/>
  <c r="AC25" i="4"/>
  <c r="AH25" i="4"/>
  <c r="AH18" i="4"/>
  <c r="AD24" i="4"/>
  <c r="AD25" i="4"/>
  <c r="AE24" i="4"/>
  <c r="AE25" i="4"/>
  <c r="M24" i="4"/>
  <c r="N21" i="4"/>
  <c r="M21" i="4"/>
  <c r="AE18" i="4"/>
  <c r="M19" i="4"/>
  <c r="AD19" i="4"/>
  <c r="AH19" i="4"/>
  <c r="AC21" i="4"/>
  <c r="AF24" i="4"/>
  <c r="N19" i="4"/>
  <c r="AE19" i="4"/>
  <c r="AD21" i="4"/>
  <c r="AH21" i="4"/>
  <c r="AF21" i="4"/>
  <c r="BB91" i="4" l="1"/>
  <c r="AX91" i="4"/>
  <c r="R113" i="4"/>
  <c r="AY113" i="4"/>
  <c r="R103" i="4"/>
  <c r="AY103" i="4"/>
  <c r="R106" i="4"/>
  <c r="AY106" i="4"/>
  <c r="R112" i="4"/>
  <c r="AY112" i="4"/>
  <c r="R104" i="4"/>
  <c r="AY104" i="4"/>
  <c r="BB74" i="4"/>
  <c r="AX74" i="4"/>
  <c r="AX138" i="4" s="1"/>
  <c r="V138" i="4" s="1"/>
  <c r="R60" i="4"/>
  <c r="AY60" i="4"/>
  <c r="R102" i="4"/>
  <c r="AY102" i="4"/>
  <c r="R111" i="4"/>
  <c r="AY111" i="4"/>
  <c r="R107" i="4"/>
  <c r="AY107" i="4"/>
  <c r="AN91" i="4"/>
  <c r="AO91" i="4" s="1"/>
  <c r="AP110" i="4"/>
  <c r="AS110" i="4"/>
  <c r="AT110" i="4" s="1"/>
  <c r="Q110" i="4" s="1"/>
  <c r="AR91" i="4"/>
  <c r="AJ91" i="4"/>
  <c r="AK91" i="4" s="1"/>
  <c r="AL91" i="4" s="1"/>
  <c r="N99" i="4"/>
  <c r="BF91" i="4" s="1"/>
  <c r="AP101" i="4"/>
  <c r="AS116" i="4"/>
  <c r="AT116" i="4" s="1"/>
  <c r="AV116" i="4"/>
  <c r="AP116" i="4"/>
  <c r="Q114" i="4"/>
  <c r="AS101" i="4"/>
  <c r="AT101" i="4" s="1"/>
  <c r="Q101" i="4" s="1"/>
  <c r="AV101" i="4"/>
  <c r="O114" i="4"/>
  <c r="P110" i="4"/>
  <c r="AY110" i="4" s="1"/>
  <c r="P99" i="4"/>
  <c r="AP31" i="4"/>
  <c r="P82" i="4"/>
  <c r="AP41" i="4"/>
  <c r="AS98" i="4"/>
  <c r="AT98" i="4" s="1"/>
  <c r="AP96" i="4"/>
  <c r="AS92" i="4"/>
  <c r="AT92" i="4" s="1"/>
  <c r="AS80" i="4"/>
  <c r="AT80" i="4" s="1"/>
  <c r="AP80" i="4"/>
  <c r="AV80" i="4"/>
  <c r="AR25" i="4"/>
  <c r="AS96" i="4"/>
  <c r="AT96" i="4" s="1"/>
  <c r="AP78" i="4"/>
  <c r="AS76" i="4"/>
  <c r="AT76" i="4" s="1"/>
  <c r="AS78" i="4"/>
  <c r="AT78" i="4" s="1"/>
  <c r="AP59" i="4"/>
  <c r="AP98" i="4"/>
  <c r="AP76" i="4"/>
  <c r="AR74" i="4"/>
  <c r="AJ74" i="4"/>
  <c r="AK74" i="4" s="1"/>
  <c r="AL74" i="4" s="1"/>
  <c r="AN74" i="4"/>
  <c r="AO74" i="4" s="1"/>
  <c r="AQ74" i="4"/>
  <c r="AS75" i="4"/>
  <c r="AT75" i="4" s="1"/>
  <c r="AV75" i="4"/>
  <c r="AS77" i="4"/>
  <c r="AT77" i="4" s="1"/>
  <c r="AV77" i="4"/>
  <c r="AV79" i="4"/>
  <c r="AS79" i="4"/>
  <c r="AT79" i="4" s="1"/>
  <c r="AV81" i="4"/>
  <c r="AS81" i="4"/>
  <c r="AT81" i="4" s="1"/>
  <c r="AP75" i="4"/>
  <c r="AP81" i="4"/>
  <c r="AP77" i="4"/>
  <c r="AP79" i="4"/>
  <c r="AP86" i="4"/>
  <c r="AP92" i="4"/>
  <c r="AS94" i="4"/>
  <c r="AT94" i="4" s="1"/>
  <c r="AV41" i="4"/>
  <c r="O41" i="4" s="1"/>
  <c r="AP88" i="4"/>
  <c r="AS88" i="4"/>
  <c r="AT88" i="4" s="1"/>
  <c r="AV88" i="4"/>
  <c r="AP36" i="4"/>
  <c r="AS86" i="4"/>
  <c r="AT86" i="4" s="1"/>
  <c r="AP97" i="4"/>
  <c r="AP94" i="4"/>
  <c r="AV97" i="4"/>
  <c r="AS97" i="4"/>
  <c r="AT97" i="4" s="1"/>
  <c r="AV93" i="4"/>
  <c r="AS93" i="4"/>
  <c r="AT93" i="4" s="1"/>
  <c r="AP95" i="4"/>
  <c r="AP93" i="4"/>
  <c r="AV95" i="4"/>
  <c r="AS95" i="4"/>
  <c r="AT95" i="4" s="1"/>
  <c r="AS85" i="4"/>
  <c r="AT85" i="4" s="1"/>
  <c r="AV85" i="4"/>
  <c r="AV84" i="4"/>
  <c r="AS84" i="4"/>
  <c r="AT84" i="4" s="1"/>
  <c r="AP84" i="4"/>
  <c r="AP85" i="4"/>
  <c r="AP87" i="4"/>
  <c r="AS87" i="4"/>
  <c r="AT87" i="4" s="1"/>
  <c r="AV87" i="4"/>
  <c r="AV70" i="4"/>
  <c r="AS70" i="4"/>
  <c r="AT70" i="4" s="1"/>
  <c r="AP70" i="4"/>
  <c r="AV66" i="4"/>
  <c r="AS66" i="4"/>
  <c r="AT66" i="4" s="1"/>
  <c r="AP66" i="4"/>
  <c r="AS41" i="4"/>
  <c r="AT41" i="4" s="1"/>
  <c r="Q41" i="4" s="1"/>
  <c r="AS47" i="4"/>
  <c r="AT47" i="4" s="1"/>
  <c r="Q47" i="4" s="1"/>
  <c r="AP60" i="4"/>
  <c r="AV59" i="4"/>
  <c r="O59" i="4" s="1"/>
  <c r="P59" i="4" s="1"/>
  <c r="AS59" i="4"/>
  <c r="AT59" i="4" s="1"/>
  <c r="Q59" i="4" s="1"/>
  <c r="AS60" i="4"/>
  <c r="AT60" i="4" s="1"/>
  <c r="Q60" i="4" s="1"/>
  <c r="AS61" i="4"/>
  <c r="AT61" i="4" s="1"/>
  <c r="Q61" i="4" s="1"/>
  <c r="AV61" i="4"/>
  <c r="O61" i="4" s="1"/>
  <c r="P61" i="4" s="1"/>
  <c r="AV58" i="4"/>
  <c r="O58" i="4" s="1"/>
  <c r="AS58" i="4"/>
  <c r="AT58" i="4" s="1"/>
  <c r="Q58" i="4" s="1"/>
  <c r="AP58" i="4"/>
  <c r="AP61" i="4"/>
  <c r="AP47" i="4"/>
  <c r="AV54" i="4"/>
  <c r="O54" i="4" s="1"/>
  <c r="P54" i="4" s="1"/>
  <c r="AS54" i="4"/>
  <c r="AT54" i="4" s="1"/>
  <c r="Q54" i="4" s="1"/>
  <c r="AP54" i="4"/>
  <c r="AS53" i="4"/>
  <c r="AT53" i="4" s="1"/>
  <c r="Q53" i="4" s="1"/>
  <c r="AV53" i="4"/>
  <c r="O53" i="4" s="1"/>
  <c r="AP53" i="4"/>
  <c r="AS50" i="4"/>
  <c r="AT50" i="4" s="1"/>
  <c r="Q50" i="4" s="1"/>
  <c r="AV50" i="4"/>
  <c r="O50" i="4" s="1"/>
  <c r="P50" i="4" s="1"/>
  <c r="AS48" i="4"/>
  <c r="AT48" i="4" s="1"/>
  <c r="Q48" i="4" s="1"/>
  <c r="AV48" i="4"/>
  <c r="O48" i="4" s="1"/>
  <c r="P48" i="4" s="1"/>
  <c r="AV49" i="4"/>
  <c r="O49" i="4" s="1"/>
  <c r="P49" i="4" s="1"/>
  <c r="AS49" i="4"/>
  <c r="AT49" i="4" s="1"/>
  <c r="Q49" i="4" s="1"/>
  <c r="AP49" i="4"/>
  <c r="P47" i="4"/>
  <c r="AY47" i="4" s="1"/>
  <c r="AP50" i="4"/>
  <c r="AP48" i="4"/>
  <c r="AP42" i="4"/>
  <c r="AS44" i="4"/>
  <c r="AT44" i="4" s="1"/>
  <c r="Q44" i="4" s="1"/>
  <c r="AV44" i="4"/>
  <c r="O44" i="4" s="1"/>
  <c r="P44" i="4" s="1"/>
  <c r="AP43" i="4"/>
  <c r="P41" i="4"/>
  <c r="AY41" i="4" s="1"/>
  <c r="AS42" i="4"/>
  <c r="AT42" i="4" s="1"/>
  <c r="Q42" i="4" s="1"/>
  <c r="AV42" i="4"/>
  <c r="O42" i="4" s="1"/>
  <c r="P42" i="4" s="1"/>
  <c r="AV43" i="4"/>
  <c r="O43" i="4" s="1"/>
  <c r="P43" i="4" s="1"/>
  <c r="AS43" i="4"/>
  <c r="AT43" i="4" s="1"/>
  <c r="Q43" i="4" s="1"/>
  <c r="AP44" i="4"/>
  <c r="AS36" i="4"/>
  <c r="AT36" i="4" s="1"/>
  <c r="Q36" i="4" s="1"/>
  <c r="P36" i="4"/>
  <c r="AP28" i="4"/>
  <c r="AS28" i="4"/>
  <c r="AT28" i="4" s="1"/>
  <c r="Q28" i="4" s="1"/>
  <c r="AS31" i="4"/>
  <c r="AT31" i="4" s="1"/>
  <c r="Q31" i="4" s="1"/>
  <c r="AV31" i="4"/>
  <c r="O31" i="4" s="1"/>
  <c r="P31" i="4" s="1"/>
  <c r="AV33" i="4"/>
  <c r="O33" i="4" s="1"/>
  <c r="P33" i="4" s="1"/>
  <c r="AS33" i="4"/>
  <c r="AT33" i="4" s="1"/>
  <c r="Q33" i="4" s="1"/>
  <c r="AV29" i="4"/>
  <c r="O29" i="4" s="1"/>
  <c r="P29" i="4" s="1"/>
  <c r="AS29" i="4"/>
  <c r="AT29" i="4" s="1"/>
  <c r="Q29" i="4" s="1"/>
  <c r="AS32" i="4"/>
  <c r="AT32" i="4" s="1"/>
  <c r="Q32" i="4" s="1"/>
  <c r="AV32" i="4"/>
  <c r="O32" i="4" s="1"/>
  <c r="P32" i="4" s="1"/>
  <c r="AP29" i="4"/>
  <c r="AP33" i="4"/>
  <c r="AV30" i="4"/>
  <c r="O30" i="4" s="1"/>
  <c r="P30" i="4" s="1"/>
  <c r="AS30" i="4"/>
  <c r="AT30" i="4" s="1"/>
  <c r="Q30" i="4" s="1"/>
  <c r="AP30" i="4"/>
  <c r="AP32" i="4"/>
  <c r="P28" i="4"/>
  <c r="AY28" i="4" s="1"/>
  <c r="AQ23" i="4"/>
  <c r="AR23" i="4"/>
  <c r="AJ23" i="4"/>
  <c r="AK23" i="4" s="1"/>
  <c r="AL23" i="4" s="1"/>
  <c r="AN23" i="4"/>
  <c r="AO23" i="4" s="1"/>
  <c r="AQ22" i="4"/>
  <c r="AR22" i="4"/>
  <c r="AN22" i="4"/>
  <c r="AO22" i="4" s="1"/>
  <c r="AJ22" i="4"/>
  <c r="AK22" i="4" s="1"/>
  <c r="AL22" i="4" s="1"/>
  <c r="AQ20" i="4"/>
  <c r="AR20" i="4"/>
  <c r="AN20" i="4"/>
  <c r="AO20" i="4" s="1"/>
  <c r="AJ20" i="4"/>
  <c r="AK20" i="4" s="1"/>
  <c r="AL20" i="4" s="1"/>
  <c r="AN25" i="4"/>
  <c r="AO25" i="4" s="1"/>
  <c r="AJ25" i="4"/>
  <c r="AK25" i="4" s="1"/>
  <c r="AL25" i="4" s="1"/>
  <c r="AV25" i="4" s="1"/>
  <c r="O25" i="4" s="1"/>
  <c r="P25" i="4" s="1"/>
  <c r="AR19" i="4"/>
  <c r="AN19" i="4"/>
  <c r="AO19" i="4" s="1"/>
  <c r="AJ19" i="4"/>
  <c r="AK19" i="4" s="1"/>
  <c r="AL19" i="4" s="1"/>
  <c r="AQ19" i="4"/>
  <c r="AR24" i="4"/>
  <c r="AN24" i="4"/>
  <c r="AO24" i="4" s="1"/>
  <c r="AJ24" i="4"/>
  <c r="AK24" i="4" s="1"/>
  <c r="AL24" i="4" s="1"/>
  <c r="AQ24" i="4"/>
  <c r="AQ25" i="4"/>
  <c r="AQ21" i="4"/>
  <c r="AR21" i="4"/>
  <c r="AN21" i="4"/>
  <c r="AO21" i="4" s="1"/>
  <c r="AJ21" i="4"/>
  <c r="AK21" i="4" s="1"/>
  <c r="AL21" i="4" s="1"/>
  <c r="R32" i="4" l="1"/>
  <c r="AY32" i="4"/>
  <c r="R48" i="4"/>
  <c r="AY48" i="4"/>
  <c r="R54" i="4"/>
  <c r="AY54" i="4"/>
  <c r="R30" i="4"/>
  <c r="AY30" i="4"/>
  <c r="R31" i="4"/>
  <c r="AY31" i="4"/>
  <c r="BB36" i="4"/>
  <c r="AY36" i="4"/>
  <c r="R43" i="4"/>
  <c r="AY43" i="4"/>
  <c r="R50" i="4"/>
  <c r="AY50" i="4"/>
  <c r="R33" i="4"/>
  <c r="AY33" i="4"/>
  <c r="R25" i="4"/>
  <c r="AY25" i="4"/>
  <c r="R29" i="4"/>
  <c r="AY29" i="4"/>
  <c r="R42" i="4"/>
  <c r="AY42" i="4"/>
  <c r="R44" i="4"/>
  <c r="AY44" i="4"/>
  <c r="R49" i="4"/>
  <c r="AY49" i="4"/>
  <c r="R61" i="4"/>
  <c r="AY61" i="4"/>
  <c r="R59" i="4"/>
  <c r="AY59" i="4"/>
  <c r="AS91" i="4"/>
  <c r="AT91" i="4" s="1"/>
  <c r="AV91" i="4"/>
  <c r="AP91" i="4"/>
  <c r="AV108" i="4"/>
  <c r="O101" i="4"/>
  <c r="Q108" i="4"/>
  <c r="P114" i="4"/>
  <c r="R114" i="4" s="1"/>
  <c r="BB110" i="4"/>
  <c r="R110" i="4"/>
  <c r="S110" i="4" s="1"/>
  <c r="AP74" i="4"/>
  <c r="AV74" i="4"/>
  <c r="AS74" i="4"/>
  <c r="AT74" i="4" s="1"/>
  <c r="BB41" i="4"/>
  <c r="BB47" i="4"/>
  <c r="BB28" i="4"/>
  <c r="Q39" i="4"/>
  <c r="Q56" i="4"/>
  <c r="Q62" i="4"/>
  <c r="O62" i="4"/>
  <c r="P58" i="4"/>
  <c r="Q51" i="4"/>
  <c r="O51" i="4"/>
  <c r="P53" i="4"/>
  <c r="O56" i="4"/>
  <c r="R47" i="4"/>
  <c r="R51" i="4" s="1"/>
  <c r="P51" i="4"/>
  <c r="Q45" i="4"/>
  <c r="R41" i="4"/>
  <c r="R45" i="4" s="1"/>
  <c r="P45" i="4"/>
  <c r="O45" i="4"/>
  <c r="P39" i="4"/>
  <c r="R36" i="4"/>
  <c r="R39" i="4" s="1"/>
  <c r="O39" i="4"/>
  <c r="AP25" i="4"/>
  <c r="Q34" i="4"/>
  <c r="P34" i="4"/>
  <c r="R28" i="4"/>
  <c r="R34" i="4" s="1"/>
  <c r="O34" i="4"/>
  <c r="AS25" i="4"/>
  <c r="AT25" i="4" s="1"/>
  <c r="Q25" i="4" s="1"/>
  <c r="AV23" i="4"/>
  <c r="O23" i="4" s="1"/>
  <c r="P23" i="4" s="1"/>
  <c r="AS23" i="4"/>
  <c r="AT23" i="4" s="1"/>
  <c r="Q23" i="4" s="1"/>
  <c r="AP23" i="4"/>
  <c r="AV22" i="4"/>
  <c r="O22" i="4" s="1"/>
  <c r="P22" i="4" s="1"/>
  <c r="AS22" i="4"/>
  <c r="AT22" i="4" s="1"/>
  <c r="Q22" i="4" s="1"/>
  <c r="AP22" i="4"/>
  <c r="AV20" i="4"/>
  <c r="O20" i="4" s="1"/>
  <c r="P20" i="4" s="1"/>
  <c r="AS20" i="4"/>
  <c r="AT20" i="4" s="1"/>
  <c r="Q20" i="4" s="1"/>
  <c r="AP20" i="4"/>
  <c r="AV21" i="4"/>
  <c r="O21" i="4" s="1"/>
  <c r="P21" i="4" s="1"/>
  <c r="AS21" i="4"/>
  <c r="AT21" i="4" s="1"/>
  <c r="Q21" i="4" s="1"/>
  <c r="AV19" i="4"/>
  <c r="O19" i="4" s="1"/>
  <c r="P19" i="4" s="1"/>
  <c r="AS19" i="4"/>
  <c r="AT19" i="4" s="1"/>
  <c r="Q19" i="4" s="1"/>
  <c r="AV24" i="4"/>
  <c r="O24" i="4" s="1"/>
  <c r="P24" i="4" s="1"/>
  <c r="AS24" i="4"/>
  <c r="AT24" i="4" s="1"/>
  <c r="Q24" i="4" s="1"/>
  <c r="AP21" i="4"/>
  <c r="AP24" i="4"/>
  <c r="AP19" i="4"/>
  <c r="R20" i="4" l="1"/>
  <c r="AY20" i="4"/>
  <c r="R21" i="4"/>
  <c r="AY21" i="4"/>
  <c r="R23" i="4"/>
  <c r="AY23" i="4"/>
  <c r="BB58" i="4"/>
  <c r="AY58" i="4"/>
  <c r="R24" i="4"/>
  <c r="AY24" i="4"/>
  <c r="R19" i="4"/>
  <c r="AY19" i="4"/>
  <c r="R22" i="4"/>
  <c r="AY22" i="4"/>
  <c r="BB53" i="4"/>
  <c r="AY53" i="4"/>
  <c r="T110" i="4"/>
  <c r="BJ110" i="4"/>
  <c r="P101" i="4"/>
  <c r="O108" i="4"/>
  <c r="U110" i="4"/>
  <c r="S28" i="4"/>
  <c r="S47" i="4"/>
  <c r="S36" i="4"/>
  <c r="S41" i="4"/>
  <c r="R58" i="4"/>
  <c r="P62" i="4"/>
  <c r="R53" i="4"/>
  <c r="P56" i="4"/>
  <c r="R101" i="4" l="1"/>
  <c r="S101" i="4" s="1"/>
  <c r="AY101" i="4"/>
  <c r="BK110" i="4"/>
  <c r="V110" i="4"/>
  <c r="W110" i="4" s="1"/>
  <c r="T28" i="4"/>
  <c r="U28" i="4" s="1"/>
  <c r="BK28" i="4" s="1"/>
  <c r="BJ28" i="4"/>
  <c r="T41" i="4"/>
  <c r="V41" i="4" s="1"/>
  <c r="W41" i="4" s="1"/>
  <c r="BJ41" i="4"/>
  <c r="T101" i="4"/>
  <c r="V101" i="4" s="1"/>
  <c r="W101" i="4" s="1"/>
  <c r="BJ101" i="4"/>
  <c r="T36" i="4"/>
  <c r="U36" i="4" s="1"/>
  <c r="BK36" i="4" s="1"/>
  <c r="BJ36" i="4"/>
  <c r="T47" i="4"/>
  <c r="BJ47" i="4"/>
  <c r="P108" i="4"/>
  <c r="R108" i="4" s="1"/>
  <c r="BB101" i="4"/>
  <c r="U101" i="4"/>
  <c r="BK101" i="4" s="1"/>
  <c r="R56" i="4"/>
  <c r="S53" i="4"/>
  <c r="R62" i="4"/>
  <c r="S58" i="4"/>
  <c r="V36" i="4" l="1"/>
  <c r="W36" i="4" s="1"/>
  <c r="V28" i="4"/>
  <c r="W28" i="4" s="1"/>
  <c r="V47" i="4"/>
  <c r="W47" i="4" s="1"/>
  <c r="U47" i="4"/>
  <c r="BK47" i="4" s="1"/>
  <c r="U41" i="4"/>
  <c r="BK41" i="4" s="1"/>
  <c r="T58" i="4"/>
  <c r="U58" i="4" s="1"/>
  <c r="BJ58" i="4"/>
  <c r="T53" i="4"/>
  <c r="U53" i="4" s="1"/>
  <c r="BK53" i="4" s="1"/>
  <c r="BJ53" i="4"/>
  <c r="AL21" i="2"/>
  <c r="AK21" i="2"/>
  <c r="AM21" i="2" s="1"/>
  <c r="AB21" i="2"/>
  <c r="AA21" i="2"/>
  <c r="P21" i="2"/>
  <c r="O21" i="2"/>
  <c r="Q21" i="2" s="1"/>
  <c r="J21" i="2"/>
  <c r="I21" i="2"/>
  <c r="AL20" i="2"/>
  <c r="AK20" i="2"/>
  <c r="AM20" i="2" s="1"/>
  <c r="AB20" i="2"/>
  <c r="AA20" i="2"/>
  <c r="P20" i="2"/>
  <c r="O20" i="2"/>
  <c r="Q20" i="2" s="1"/>
  <c r="J20" i="2"/>
  <c r="H20" i="2" s="1"/>
  <c r="G20" i="2" s="1"/>
  <c r="E20" i="2" s="1"/>
  <c r="D20" i="2" s="1"/>
  <c r="C20" i="2" s="1"/>
  <c r="B20" i="2" s="1"/>
  <c r="I20" i="2"/>
  <c r="AL19" i="2"/>
  <c r="AK19" i="2"/>
  <c r="AM19" i="2" s="1"/>
  <c r="AB19" i="2"/>
  <c r="AA19" i="2"/>
  <c r="P19" i="2"/>
  <c r="O19" i="2"/>
  <c r="Q19" i="2" s="1"/>
  <c r="J19" i="2"/>
  <c r="I19" i="2"/>
  <c r="H19" i="2" s="1"/>
  <c r="G19" i="2" s="1"/>
  <c r="E19" i="2" s="1"/>
  <c r="D19" i="2" s="1"/>
  <c r="C19" i="2" s="1"/>
  <c r="B19" i="2" s="1"/>
  <c r="AL18" i="2"/>
  <c r="AK18" i="2"/>
  <c r="AB18" i="2"/>
  <c r="AA18" i="2"/>
  <c r="P18" i="2"/>
  <c r="O18" i="2"/>
  <c r="J18" i="2"/>
  <c r="H18" i="2" s="1"/>
  <c r="G18" i="2" s="1"/>
  <c r="E18" i="2" s="1"/>
  <c r="D18" i="2" s="1"/>
  <c r="C18" i="2" s="1"/>
  <c r="B18" i="2" s="1"/>
  <c r="I18" i="2"/>
  <c r="AL17" i="2"/>
  <c r="AK17" i="2"/>
  <c r="AB17" i="2"/>
  <c r="AA17" i="2"/>
  <c r="AC17" i="2" s="1"/>
  <c r="P17" i="2"/>
  <c r="O17" i="2"/>
  <c r="J17" i="2"/>
  <c r="I17" i="2"/>
  <c r="H17" i="2" s="1"/>
  <c r="G17" i="2" s="1"/>
  <c r="E17" i="2" s="1"/>
  <c r="D17" i="2" s="1"/>
  <c r="C17" i="2" s="1"/>
  <c r="B17" i="2" s="1"/>
  <c r="AL16" i="2"/>
  <c r="AK16" i="2"/>
  <c r="AB16" i="2"/>
  <c r="AA16" i="2"/>
  <c r="P16" i="2"/>
  <c r="O16" i="2"/>
  <c r="J16" i="2"/>
  <c r="I16" i="2"/>
  <c r="AL15" i="2"/>
  <c r="AK15" i="2"/>
  <c r="AB15" i="2"/>
  <c r="AA15" i="2"/>
  <c r="AC15" i="2" s="1"/>
  <c r="P15" i="2"/>
  <c r="O15" i="2"/>
  <c r="J15" i="2"/>
  <c r="I15" i="2"/>
  <c r="H15" i="2"/>
  <c r="G15" i="2" s="1"/>
  <c r="E15" i="2" s="1"/>
  <c r="D15" i="2" s="1"/>
  <c r="C15" i="2" s="1"/>
  <c r="B15" i="2" s="1"/>
  <c r="AL14" i="2"/>
  <c r="AK14" i="2"/>
  <c r="AB14" i="2"/>
  <c r="AA14" i="2"/>
  <c r="AC14" i="2" s="1"/>
  <c r="P14" i="2"/>
  <c r="O14" i="2"/>
  <c r="J14" i="2"/>
  <c r="I14" i="2"/>
  <c r="H14" i="2" s="1"/>
  <c r="G14" i="2" s="1"/>
  <c r="E14" i="2" s="1"/>
  <c r="D14" i="2" s="1"/>
  <c r="C14" i="2" s="1"/>
  <c r="B14" i="2" s="1"/>
  <c r="AL13" i="2"/>
  <c r="AK13" i="2"/>
  <c r="AM13" i="2" s="1"/>
  <c r="AB13" i="2"/>
  <c r="AA13" i="2"/>
  <c r="P13" i="2"/>
  <c r="O13" i="2"/>
  <c r="Q13" i="2" s="1"/>
  <c r="J13" i="2"/>
  <c r="I13" i="2"/>
  <c r="AL12" i="2"/>
  <c r="AK12" i="2"/>
  <c r="AM12" i="2" s="1"/>
  <c r="AB12" i="2"/>
  <c r="AA12" i="2"/>
  <c r="P12" i="2"/>
  <c r="O12" i="2"/>
  <c r="Q12" i="2" s="1"/>
  <c r="J12" i="2"/>
  <c r="H12" i="2" s="1"/>
  <c r="G12" i="2" s="1"/>
  <c r="E12" i="2" s="1"/>
  <c r="D12" i="2" s="1"/>
  <c r="C12" i="2" s="1"/>
  <c r="B12" i="2" s="1"/>
  <c r="I12" i="2"/>
  <c r="AL11" i="2"/>
  <c r="AK11" i="2"/>
  <c r="AM11" i="2" s="1"/>
  <c r="AB11" i="2"/>
  <c r="AA11" i="2"/>
  <c r="P11" i="2"/>
  <c r="O11" i="2"/>
  <c r="Q11" i="2" s="1"/>
  <c r="J11" i="2"/>
  <c r="I11" i="2"/>
  <c r="H11" i="2" s="1"/>
  <c r="G11" i="2" s="1"/>
  <c r="E11" i="2" s="1"/>
  <c r="D11" i="2" s="1"/>
  <c r="C11" i="2" s="1"/>
  <c r="B11" i="2" s="1"/>
  <c r="AL10" i="2"/>
  <c r="AK10" i="2"/>
  <c r="AB10" i="2"/>
  <c r="AA10" i="2"/>
  <c r="P10" i="2"/>
  <c r="O10" i="2"/>
  <c r="J10" i="2"/>
  <c r="I10" i="2"/>
  <c r="H10" i="2"/>
  <c r="G10" i="2" s="1"/>
  <c r="E10" i="2" s="1"/>
  <c r="D10" i="2" s="1"/>
  <c r="C10" i="2" s="1"/>
  <c r="B10" i="2" s="1"/>
  <c r="AL9" i="2"/>
  <c r="AK9" i="2"/>
  <c r="AB9" i="2"/>
  <c r="AA9" i="2"/>
  <c r="AC9" i="2" s="1"/>
  <c r="P9" i="2"/>
  <c r="O9" i="2"/>
  <c r="J9" i="2"/>
  <c r="I9" i="2"/>
  <c r="H9" i="2" s="1"/>
  <c r="G9" i="2" s="1"/>
  <c r="E9" i="2" s="1"/>
  <c r="D9" i="2" s="1"/>
  <c r="C9" i="2" s="1"/>
  <c r="B9" i="2" s="1"/>
  <c r="AL8" i="2"/>
  <c r="AK8" i="2"/>
  <c r="AB8" i="2"/>
  <c r="AA8" i="2"/>
  <c r="P8" i="2"/>
  <c r="O8" i="2"/>
  <c r="J8" i="2"/>
  <c r="I8" i="2"/>
  <c r="AL7" i="2"/>
  <c r="AK7" i="2"/>
  <c r="AB7" i="2"/>
  <c r="AA7" i="2"/>
  <c r="AC7" i="2" s="1"/>
  <c r="P7" i="2"/>
  <c r="O7" i="2"/>
  <c r="J7" i="2"/>
  <c r="I7" i="2"/>
  <c r="H7" i="2"/>
  <c r="G7" i="2" s="1"/>
  <c r="E7" i="2" s="1"/>
  <c r="D7" i="2" s="1"/>
  <c r="C7" i="2" s="1"/>
  <c r="B7" i="2" s="1"/>
  <c r="AL6" i="2"/>
  <c r="AK6" i="2"/>
  <c r="AB6" i="2"/>
  <c r="AA6" i="2"/>
  <c r="AC6" i="2" s="1"/>
  <c r="P6" i="2"/>
  <c r="O6" i="2"/>
  <c r="J6" i="2"/>
  <c r="I6" i="2"/>
  <c r="H6" i="2" s="1"/>
  <c r="G6" i="2" s="1"/>
  <c r="E6" i="2" s="1"/>
  <c r="D6" i="2" s="1"/>
  <c r="C6" i="2" s="1"/>
  <c r="B6" i="2" s="1"/>
  <c r="AL5" i="2"/>
  <c r="AK5" i="2"/>
  <c r="AM5" i="2" s="1"/>
  <c r="AB5" i="2"/>
  <c r="AA5" i="2"/>
  <c r="P5" i="2"/>
  <c r="O5" i="2"/>
  <c r="Q5" i="2" s="1"/>
  <c r="J5" i="2"/>
  <c r="I5" i="2"/>
  <c r="AL4" i="2"/>
  <c r="AK4" i="2"/>
  <c r="AM4" i="2" s="1"/>
  <c r="AB4" i="2"/>
  <c r="AA4" i="2"/>
  <c r="P4" i="2"/>
  <c r="O4" i="2"/>
  <c r="Q4" i="2" s="1"/>
  <c r="J4" i="2"/>
  <c r="H4" i="2" s="1"/>
  <c r="G4" i="2" s="1"/>
  <c r="E4" i="2" s="1"/>
  <c r="D4" i="2" s="1"/>
  <c r="C4" i="2" s="1"/>
  <c r="B4" i="2" s="1"/>
  <c r="I4" i="2"/>
  <c r="J3" i="2"/>
  <c r="I3" i="2"/>
  <c r="H3" i="2" s="1"/>
  <c r="G3" i="2" s="1"/>
  <c r="E3" i="2" s="1"/>
  <c r="D3" i="2" s="1"/>
  <c r="C3" i="2" s="1"/>
  <c r="B3" i="2" s="1"/>
  <c r="H8" i="2" l="1"/>
  <c r="G8" i="2" s="1"/>
  <c r="E8" i="2" s="1"/>
  <c r="D8" i="2" s="1"/>
  <c r="C8" i="2" s="1"/>
  <c r="B8" i="2" s="1"/>
  <c r="AC10" i="2"/>
  <c r="H16" i="2"/>
  <c r="G16" i="2" s="1"/>
  <c r="E16" i="2" s="1"/>
  <c r="D16" i="2" s="1"/>
  <c r="C16" i="2" s="1"/>
  <c r="B16" i="2" s="1"/>
  <c r="AC18" i="2"/>
  <c r="AD18" i="2" s="1"/>
  <c r="H5" i="2"/>
  <c r="G5" i="2" s="1"/>
  <c r="E5" i="2" s="1"/>
  <c r="D5" i="2" s="1"/>
  <c r="C5" i="2" s="1"/>
  <c r="B5" i="2" s="1"/>
  <c r="AC5" i="2"/>
  <c r="Q7" i="2"/>
  <c r="AM7" i="2"/>
  <c r="AN7" i="2" s="1"/>
  <c r="AP7" i="2" s="1"/>
  <c r="Q8" i="2"/>
  <c r="AM8" i="2"/>
  <c r="Q9" i="2"/>
  <c r="AM9" i="2"/>
  <c r="AC11" i="2"/>
  <c r="H13" i="2"/>
  <c r="G13" i="2" s="1"/>
  <c r="E13" i="2" s="1"/>
  <c r="D13" i="2" s="1"/>
  <c r="C13" i="2" s="1"/>
  <c r="B13" i="2" s="1"/>
  <c r="AC13" i="2"/>
  <c r="Q15" i="2"/>
  <c r="AM15" i="2"/>
  <c r="Q16" i="2"/>
  <c r="AM16" i="2"/>
  <c r="Q17" i="2"/>
  <c r="R17" i="2" s="1"/>
  <c r="T17" i="2" s="1"/>
  <c r="AM17" i="2"/>
  <c r="AC19" i="2"/>
  <c r="H21" i="2"/>
  <c r="G21" i="2" s="1"/>
  <c r="E21" i="2" s="1"/>
  <c r="D21" i="2" s="1"/>
  <c r="C21" i="2" s="1"/>
  <c r="B21" i="2" s="1"/>
  <c r="AC21" i="2"/>
  <c r="AD21" i="2" s="1"/>
  <c r="AF21" i="2" s="1"/>
  <c r="V58" i="4"/>
  <c r="W58" i="4" s="1"/>
  <c r="BK58" i="4"/>
  <c r="V53" i="4"/>
  <c r="W53" i="4" s="1"/>
  <c r="AC4" i="2"/>
  <c r="AD4" i="2" s="1"/>
  <c r="Q6" i="2"/>
  <c r="AM6" i="2"/>
  <c r="AN6" i="2" s="1"/>
  <c r="AC8" i="2"/>
  <c r="AD8" i="2" s="1"/>
  <c r="Q10" i="2"/>
  <c r="R10" i="2" s="1"/>
  <c r="AM10" i="2"/>
  <c r="AC12" i="2"/>
  <c r="Q14" i="2"/>
  <c r="AM14" i="2"/>
  <c r="AN14" i="2" s="1"/>
  <c r="AC16" i="2"/>
  <c r="Q18" i="2"/>
  <c r="AM18" i="2"/>
  <c r="AN18" i="2" s="1"/>
  <c r="AC20" i="2"/>
  <c r="AD20" i="2" s="1"/>
  <c r="R4" i="2"/>
  <c r="AN4" i="2"/>
  <c r="R5" i="2"/>
  <c r="T5" i="2" s="1"/>
  <c r="AD5" i="2"/>
  <c r="AF5" i="2" s="1"/>
  <c r="AN5" i="2"/>
  <c r="AP5" i="2" s="1"/>
  <c r="R6" i="2"/>
  <c r="AD6" i="2"/>
  <c r="R7" i="2"/>
  <c r="T7" i="2" s="1"/>
  <c r="AD7" i="2"/>
  <c r="AF7" i="2" s="1"/>
  <c r="R8" i="2"/>
  <c r="AN8" i="2"/>
  <c r="R9" i="2"/>
  <c r="T9" i="2" s="1"/>
  <c r="AD9" i="2"/>
  <c r="AF9" i="2" s="1"/>
  <c r="AN9" i="2"/>
  <c r="AP9" i="2" s="1"/>
  <c r="AD10" i="2"/>
  <c r="AN10" i="2"/>
  <c r="R11" i="2"/>
  <c r="T11" i="2" s="1"/>
  <c r="AD11" i="2"/>
  <c r="AF11" i="2" s="1"/>
  <c r="AN11" i="2"/>
  <c r="AP11" i="2" s="1"/>
  <c r="R12" i="2"/>
  <c r="AD12" i="2"/>
  <c r="AN12" i="2"/>
  <c r="R13" i="2"/>
  <c r="T13" i="2" s="1"/>
  <c r="AD13" i="2"/>
  <c r="AF13" i="2" s="1"/>
  <c r="AN13" i="2"/>
  <c r="AP13" i="2" s="1"/>
  <c r="R14" i="2"/>
  <c r="AD14" i="2"/>
  <c r="R15" i="2"/>
  <c r="T15" i="2" s="1"/>
  <c r="AD15" i="2"/>
  <c r="AF15" i="2" s="1"/>
  <c r="AN15" i="2"/>
  <c r="AP15" i="2" s="1"/>
  <c r="R16" i="2"/>
  <c r="AD16" i="2"/>
  <c r="AN16" i="2"/>
  <c r="AD17" i="2"/>
  <c r="AF17" i="2" s="1"/>
  <c r="AN17" i="2"/>
  <c r="AP17" i="2" s="1"/>
  <c r="R18" i="2"/>
  <c r="R19" i="2"/>
  <c r="T19" i="2" s="1"/>
  <c r="AD19" i="2"/>
  <c r="AF19" i="2" s="1"/>
  <c r="AN19" i="2"/>
  <c r="AP19" i="2" s="1"/>
  <c r="R20" i="2"/>
  <c r="AN20" i="2"/>
  <c r="R21" i="2"/>
  <c r="T21" i="2" s="1"/>
  <c r="AN21" i="2"/>
  <c r="AP21" i="2" s="1"/>
  <c r="AG21" i="2" l="1"/>
  <c r="AP20" i="2"/>
  <c r="AQ20" i="2" s="1"/>
  <c r="T20" i="2"/>
  <c r="U20" i="2" s="1"/>
  <c r="AG19" i="2"/>
  <c r="AP18" i="2"/>
  <c r="AQ18" i="2" s="1"/>
  <c r="T18" i="2"/>
  <c r="U18" i="2" s="1"/>
  <c r="AG17" i="2"/>
  <c r="AP16" i="2"/>
  <c r="AQ16" i="2" s="1"/>
  <c r="T16" i="2"/>
  <c r="U16" i="2" s="1"/>
  <c r="AG15" i="2"/>
  <c r="AP14" i="2"/>
  <c r="AQ14" i="2" s="1"/>
  <c r="T14" i="2"/>
  <c r="U14" i="2" s="1"/>
  <c r="AG13" i="2"/>
  <c r="AP12" i="2"/>
  <c r="AQ12" i="2" s="1"/>
  <c r="T12" i="2"/>
  <c r="U12" i="2" s="1"/>
  <c r="AG11" i="2"/>
  <c r="AP10" i="2"/>
  <c r="AQ10" i="2" s="1"/>
  <c r="T10" i="2"/>
  <c r="U10" i="2" s="1"/>
  <c r="AG9" i="2"/>
  <c r="AP8" i="2"/>
  <c r="AQ8" i="2" s="1"/>
  <c r="T8" i="2"/>
  <c r="U8" i="2" s="1"/>
  <c r="AG7" i="2"/>
  <c r="AP6" i="2"/>
  <c r="AQ6" i="2" s="1"/>
  <c r="T6" i="2"/>
  <c r="U6" i="2" s="1"/>
  <c r="AG5" i="2"/>
  <c r="AP4" i="2"/>
  <c r="AQ4" i="2" s="1"/>
  <c r="T4" i="2"/>
  <c r="U4" i="2" s="1"/>
  <c r="AQ21" i="2"/>
  <c r="U21" i="2"/>
  <c r="AF20" i="2"/>
  <c r="AG20" i="2" s="1"/>
  <c r="AQ19" i="2"/>
  <c r="U19" i="2"/>
  <c r="AF18" i="2"/>
  <c r="AG18" i="2" s="1"/>
  <c r="AQ17" i="2"/>
  <c r="U17" i="2"/>
  <c r="AF16" i="2"/>
  <c r="AG16" i="2" s="1"/>
  <c r="AQ15" i="2"/>
  <c r="U15" i="2"/>
  <c r="AF14" i="2"/>
  <c r="AG14" i="2" s="1"/>
  <c r="AQ13" i="2"/>
  <c r="U13" i="2"/>
  <c r="AF12" i="2"/>
  <c r="AG12" i="2" s="1"/>
  <c r="AQ11" i="2"/>
  <c r="U11" i="2"/>
  <c r="AF10" i="2"/>
  <c r="AG10" i="2" s="1"/>
  <c r="AQ9" i="2"/>
  <c r="U9" i="2"/>
  <c r="AF8" i="2"/>
  <c r="AG8" i="2" s="1"/>
  <c r="AQ7" i="2"/>
  <c r="U7" i="2"/>
  <c r="AF6" i="2"/>
  <c r="AG6" i="2" s="1"/>
  <c r="AQ5" i="2"/>
  <c r="U5" i="2"/>
  <c r="AF4" i="2"/>
  <c r="AG4" i="2" s="1"/>
  <c r="AH6" i="2" l="1"/>
  <c r="AI6" i="2" s="1"/>
  <c r="AH10" i="2"/>
  <c r="AI10" i="2" s="1"/>
  <c r="AH14" i="2"/>
  <c r="AI14" i="2" s="1"/>
  <c r="AH18" i="2"/>
  <c r="AI18" i="2" s="1"/>
  <c r="V4" i="2"/>
  <c r="W4" i="2" s="1"/>
  <c r="AR6" i="2"/>
  <c r="AS6" i="2" s="1"/>
  <c r="V8" i="2"/>
  <c r="W8" i="2" s="1"/>
  <c r="AR10" i="2"/>
  <c r="AS10" i="2" s="1"/>
  <c r="V12" i="2"/>
  <c r="W12" i="2" s="1"/>
  <c r="AR14" i="2"/>
  <c r="AS14" i="2" s="1"/>
  <c r="V16" i="2"/>
  <c r="W16" i="2" s="1"/>
  <c r="AR18" i="2"/>
  <c r="AS18" i="2" s="1"/>
  <c r="V20" i="2"/>
  <c r="W20" i="2" s="1"/>
  <c r="AH4" i="2"/>
  <c r="AI4" i="2" s="1"/>
  <c r="AH8" i="2"/>
  <c r="AI8" i="2" s="1"/>
  <c r="AH12" i="2"/>
  <c r="AI12" i="2" s="1"/>
  <c r="AH16" i="2"/>
  <c r="AI16" i="2" s="1"/>
  <c r="AH20" i="2"/>
  <c r="AI20" i="2" s="1"/>
  <c r="AR4" i="2"/>
  <c r="AS4" i="2" s="1"/>
  <c r="V6" i="2"/>
  <c r="W6" i="2" s="1"/>
  <c r="AR8" i="2"/>
  <c r="AS8" i="2" s="1"/>
  <c r="V10" i="2"/>
  <c r="W10" i="2" s="1"/>
  <c r="AR12" i="2"/>
  <c r="AS12" i="2" s="1"/>
  <c r="V14" i="2"/>
  <c r="W14" i="2" s="1"/>
  <c r="AR16" i="2"/>
  <c r="AS16" i="2" s="1"/>
  <c r="V18" i="2"/>
  <c r="W18" i="2" s="1"/>
  <c r="AR20" i="2"/>
  <c r="AS20" i="2" s="1"/>
  <c r="AR5" i="2"/>
  <c r="AS5" i="2" s="1"/>
  <c r="V7" i="2"/>
  <c r="W7" i="2" s="1"/>
  <c r="AR9" i="2"/>
  <c r="AS9" i="2" s="1"/>
  <c r="V11" i="2"/>
  <c r="W11" i="2" s="1"/>
  <c r="AR13" i="2"/>
  <c r="AS13" i="2" s="1"/>
  <c r="V15" i="2"/>
  <c r="W15" i="2" s="1"/>
  <c r="AR17" i="2"/>
  <c r="AS17" i="2" s="1"/>
  <c r="V19" i="2"/>
  <c r="W19" i="2" s="1"/>
  <c r="AR21" i="2"/>
  <c r="AS21" i="2" s="1"/>
  <c r="AH7" i="2"/>
  <c r="AI7" i="2" s="1"/>
  <c r="AH11" i="2"/>
  <c r="AI11" i="2" s="1"/>
  <c r="AH15" i="2"/>
  <c r="AI15" i="2" s="1"/>
  <c r="AH19" i="2"/>
  <c r="AI19" i="2" s="1"/>
  <c r="V5" i="2"/>
  <c r="W5" i="2" s="1"/>
  <c r="AR7" i="2"/>
  <c r="AS7" i="2" s="1"/>
  <c r="V9" i="2"/>
  <c r="W9" i="2" s="1"/>
  <c r="AR11" i="2"/>
  <c r="AS11" i="2" s="1"/>
  <c r="V13" i="2"/>
  <c r="W13" i="2" s="1"/>
  <c r="AR15" i="2"/>
  <c r="AS15" i="2" s="1"/>
  <c r="V17" i="2"/>
  <c r="W17" i="2" s="1"/>
  <c r="AR19" i="2"/>
  <c r="AS19" i="2" s="1"/>
  <c r="V21" i="2"/>
  <c r="W21" i="2" s="1"/>
  <c r="AH5" i="2"/>
  <c r="AI5" i="2" s="1"/>
  <c r="AH9" i="2"/>
  <c r="AI9" i="2" s="1"/>
  <c r="AH13" i="2"/>
  <c r="AI13" i="2" s="1"/>
  <c r="AH17" i="2"/>
  <c r="AI17" i="2" s="1"/>
  <c r="AH21" i="2"/>
  <c r="AI21" i="2" s="1"/>
  <c r="K35" i="1" l="1"/>
  <c r="M35" i="1" s="1"/>
  <c r="F35" i="1"/>
  <c r="E35" i="1"/>
  <c r="D35" i="1" s="1"/>
  <c r="C35" i="1" s="1"/>
  <c r="B35" i="1" s="1"/>
  <c r="K34" i="1"/>
  <c r="M34" i="1" s="1"/>
  <c r="F34" i="1"/>
  <c r="E34" i="1" s="1"/>
  <c r="D34" i="1" s="1"/>
  <c r="C34" i="1" s="1"/>
  <c r="B34" i="1" s="1"/>
  <c r="K33" i="1"/>
  <c r="M33" i="1" s="1"/>
  <c r="F33" i="1"/>
  <c r="E33" i="1" s="1"/>
  <c r="D33" i="1" s="1"/>
  <c r="C33" i="1" s="1"/>
  <c r="B33" i="1" s="1"/>
  <c r="K32" i="1"/>
  <c r="M32" i="1" s="1"/>
  <c r="F32" i="1"/>
  <c r="E32" i="1" s="1"/>
  <c r="D32" i="1" s="1"/>
  <c r="C32" i="1" s="1"/>
  <c r="B32" i="1" s="1"/>
  <c r="K31" i="1"/>
  <c r="M31" i="1" s="1"/>
  <c r="F31" i="1"/>
  <c r="E31" i="1" s="1"/>
  <c r="D31" i="1" s="1"/>
  <c r="C31" i="1" s="1"/>
  <c r="B31" i="1" s="1"/>
  <c r="K30" i="1"/>
  <c r="M30" i="1" s="1"/>
  <c r="F30" i="1"/>
  <c r="E30" i="1"/>
  <c r="D30" i="1" s="1"/>
  <c r="C30" i="1" s="1"/>
  <c r="B30" i="1" s="1"/>
  <c r="K29" i="1"/>
  <c r="M29" i="1" s="1"/>
  <c r="F29" i="1"/>
  <c r="E29" i="1" s="1"/>
  <c r="D29" i="1" s="1"/>
  <c r="C29" i="1" s="1"/>
  <c r="B29" i="1" s="1"/>
  <c r="K28" i="1"/>
  <c r="M28" i="1" s="1"/>
  <c r="F28" i="1"/>
  <c r="E28" i="1" s="1"/>
  <c r="D28" i="1" s="1"/>
  <c r="C28" i="1" s="1"/>
  <c r="B28" i="1" s="1"/>
  <c r="K27" i="1"/>
  <c r="F27" i="1"/>
  <c r="E27" i="1" s="1"/>
  <c r="D27" i="1" s="1"/>
  <c r="C27" i="1" s="1"/>
  <c r="B27" i="1" s="1"/>
  <c r="K26" i="1"/>
  <c r="M26" i="1" s="1"/>
  <c r="F26" i="1"/>
  <c r="E26" i="1" s="1"/>
  <c r="D26" i="1" s="1"/>
  <c r="C26" i="1" s="1"/>
  <c r="B26" i="1" s="1"/>
  <c r="K25" i="1"/>
  <c r="M25" i="1" s="1"/>
  <c r="F25" i="1"/>
  <c r="E25" i="1"/>
  <c r="D25" i="1"/>
  <c r="C25" i="1" s="1"/>
  <c r="B25" i="1" s="1"/>
  <c r="K24" i="1"/>
  <c r="M24" i="1" s="1"/>
  <c r="F24" i="1"/>
  <c r="E24" i="1" s="1"/>
  <c r="D24" i="1" s="1"/>
  <c r="C24" i="1" s="1"/>
  <c r="B24" i="1" s="1"/>
  <c r="K23" i="1"/>
  <c r="M23" i="1" s="1"/>
  <c r="F23" i="1"/>
  <c r="E23" i="1" s="1"/>
  <c r="D23" i="1" s="1"/>
  <c r="C23" i="1" s="1"/>
  <c r="B23" i="1" s="1"/>
  <c r="K22" i="1"/>
  <c r="M22" i="1" s="1"/>
  <c r="F22" i="1"/>
  <c r="E22" i="1"/>
  <c r="D22" i="1" s="1"/>
  <c r="C22" i="1" s="1"/>
  <c r="B22" i="1" s="1"/>
  <c r="K21" i="1"/>
  <c r="M21" i="1" s="1"/>
  <c r="F21" i="1"/>
  <c r="E21" i="1" s="1"/>
  <c r="D21" i="1" s="1"/>
  <c r="C21" i="1" s="1"/>
  <c r="B21" i="1" s="1"/>
  <c r="K17" i="1"/>
  <c r="M17" i="1" s="1"/>
  <c r="F17" i="1"/>
  <c r="E17" i="1" s="1"/>
  <c r="D17" i="1" s="1"/>
  <c r="C17" i="1" s="1"/>
  <c r="B17" i="1" s="1"/>
  <c r="K16" i="1"/>
  <c r="M16" i="1" s="1"/>
  <c r="F16" i="1"/>
  <c r="E16" i="1"/>
  <c r="D16" i="1" s="1"/>
  <c r="C16" i="1" s="1"/>
  <c r="B16" i="1" s="1"/>
  <c r="K15" i="1"/>
  <c r="M15" i="1" s="1"/>
  <c r="F15" i="1"/>
  <c r="E15" i="1" s="1"/>
  <c r="D15" i="1" s="1"/>
  <c r="C15" i="1" s="1"/>
  <c r="B15" i="1" s="1"/>
  <c r="K14" i="1"/>
  <c r="M14" i="1" s="1"/>
  <c r="F14" i="1"/>
  <c r="E14" i="1" s="1"/>
  <c r="D14" i="1" s="1"/>
  <c r="C14" i="1" s="1"/>
  <c r="B14" i="1" s="1"/>
  <c r="K13" i="1"/>
  <c r="M13" i="1" s="1"/>
  <c r="F13" i="1"/>
  <c r="E13" i="1" s="1"/>
  <c r="D13" i="1" s="1"/>
  <c r="C13" i="1" s="1"/>
  <c r="B13" i="1" s="1"/>
  <c r="K12" i="1"/>
  <c r="M12" i="1" s="1"/>
  <c r="F12" i="1"/>
  <c r="E12" i="1" s="1"/>
  <c r="D12" i="1" s="1"/>
  <c r="C12" i="1" s="1"/>
  <c r="B12" i="1" s="1"/>
  <c r="K11" i="1"/>
  <c r="M11" i="1" s="1"/>
  <c r="F11" i="1"/>
  <c r="E11" i="1"/>
  <c r="D11" i="1" s="1"/>
  <c r="C11" i="1" s="1"/>
  <c r="B11" i="1" s="1"/>
  <c r="K10" i="1"/>
  <c r="M10" i="1" s="1"/>
  <c r="F10" i="1"/>
  <c r="E10" i="1" s="1"/>
  <c r="D10" i="1" s="1"/>
  <c r="C10" i="1" s="1"/>
  <c r="B10" i="1" s="1"/>
  <c r="K9" i="1"/>
  <c r="M9" i="1" s="1"/>
  <c r="F9" i="1"/>
  <c r="E9" i="1" s="1"/>
  <c r="D9" i="1" s="1"/>
  <c r="C9" i="1" s="1"/>
  <c r="B9" i="1" s="1"/>
  <c r="K8" i="1"/>
  <c r="M8" i="1" s="1"/>
  <c r="F8" i="1"/>
  <c r="E8" i="1" s="1"/>
  <c r="D8" i="1" s="1"/>
  <c r="C8" i="1" s="1"/>
  <c r="B8" i="1" s="1"/>
  <c r="K7" i="1"/>
  <c r="M7" i="1" s="1"/>
  <c r="F7" i="1"/>
  <c r="E7" i="1"/>
  <c r="D7" i="1" s="1"/>
  <c r="C7" i="1" s="1"/>
  <c r="B7" i="1" s="1"/>
  <c r="K6" i="1"/>
  <c r="F6" i="1"/>
  <c r="E6" i="1" s="1"/>
  <c r="D6" i="1" s="1"/>
  <c r="C6" i="1" s="1"/>
  <c r="B6" i="1" s="1"/>
  <c r="K5" i="1"/>
  <c r="M5" i="1" s="1"/>
  <c r="F5" i="1"/>
  <c r="E5" i="1" s="1"/>
  <c r="D5" i="1" s="1"/>
  <c r="C5" i="1" s="1"/>
  <c r="B5" i="1" s="1"/>
  <c r="K4" i="1"/>
  <c r="M4" i="1" s="1"/>
  <c r="F4" i="1"/>
  <c r="E4" i="1"/>
  <c r="D4" i="1" s="1"/>
  <c r="C4" i="1" s="1"/>
  <c r="B4" i="1" s="1"/>
  <c r="K3" i="1"/>
  <c r="M3" i="1" s="1"/>
  <c r="F3" i="1"/>
  <c r="E3" i="1"/>
  <c r="D3" i="1"/>
  <c r="C3" i="1" s="1"/>
  <c r="B3" i="1" s="1"/>
  <c r="N26" i="1" l="1"/>
  <c r="O26" i="1" s="1"/>
  <c r="P26" i="1" s="1"/>
  <c r="M27" i="1"/>
  <c r="N27" i="1" s="1"/>
  <c r="M6" i="1"/>
  <c r="N6" i="1" s="1"/>
  <c r="N3" i="1"/>
  <c r="N4" i="1"/>
  <c r="N5" i="1"/>
  <c r="N7" i="1"/>
  <c r="N8" i="1"/>
  <c r="N9" i="1"/>
  <c r="N10" i="1"/>
  <c r="N11" i="1"/>
  <c r="N12" i="1"/>
  <c r="N13" i="1"/>
  <c r="N14" i="1"/>
  <c r="N15" i="1"/>
  <c r="N16" i="1"/>
  <c r="N17" i="1"/>
  <c r="N21" i="1"/>
  <c r="N22" i="1"/>
  <c r="N23" i="1"/>
  <c r="N24" i="1"/>
  <c r="N25" i="1"/>
  <c r="N28" i="1"/>
  <c r="N29" i="1"/>
  <c r="N30" i="1"/>
  <c r="N31" i="1"/>
  <c r="N32" i="1"/>
  <c r="N33" i="1"/>
  <c r="N34" i="1"/>
  <c r="N35" i="1"/>
  <c r="O6" i="1" l="1"/>
  <c r="P6" i="1" s="1"/>
  <c r="O27" i="1"/>
  <c r="P27" i="1" s="1"/>
  <c r="O34" i="1"/>
  <c r="P34" i="1" s="1"/>
  <c r="O32" i="1"/>
  <c r="P32" i="1" s="1"/>
  <c r="O30" i="1"/>
  <c r="P30" i="1" s="1"/>
  <c r="O28" i="1"/>
  <c r="P28" i="1" s="1"/>
  <c r="O24" i="1"/>
  <c r="P24" i="1" s="1"/>
  <c r="O22" i="1"/>
  <c r="P22" i="1" s="1"/>
  <c r="O17" i="1"/>
  <c r="P17" i="1" s="1"/>
  <c r="O15" i="1"/>
  <c r="P15" i="1" s="1"/>
  <c r="O13" i="1"/>
  <c r="P13" i="1" s="1"/>
  <c r="O11" i="1"/>
  <c r="P11" i="1" s="1"/>
  <c r="O9" i="1"/>
  <c r="P9" i="1" s="1"/>
  <c r="O7" i="1"/>
  <c r="P7" i="1" s="1"/>
  <c r="O4" i="1"/>
  <c r="P4" i="1" s="1"/>
  <c r="O35" i="1"/>
  <c r="P35" i="1" s="1"/>
  <c r="O33" i="1"/>
  <c r="P33" i="1" s="1"/>
  <c r="O31" i="1"/>
  <c r="P31" i="1" s="1"/>
  <c r="O29" i="1"/>
  <c r="P29" i="1" s="1"/>
  <c r="O25" i="1"/>
  <c r="P25" i="1" s="1"/>
  <c r="O23" i="1"/>
  <c r="P23" i="1" s="1"/>
  <c r="O21" i="1"/>
  <c r="P21" i="1"/>
  <c r="O16" i="1"/>
  <c r="P16" i="1" s="1"/>
  <c r="O14" i="1"/>
  <c r="P14" i="1"/>
  <c r="O12" i="1"/>
  <c r="P12" i="1" s="1"/>
  <c r="O10" i="1"/>
  <c r="P10" i="1"/>
  <c r="O8" i="1"/>
  <c r="P8" i="1" s="1"/>
  <c r="O5" i="1"/>
  <c r="P5" i="1"/>
  <c r="O3" i="1"/>
  <c r="P3" i="1" s="1"/>
  <c r="M18" i="4"/>
  <c r="H26" i="4"/>
  <c r="H138" i="4" s="1"/>
  <c r="M26" i="4" l="1"/>
  <c r="M138" i="4" s="1"/>
  <c r="N18" i="4"/>
  <c r="N26" i="4" s="1"/>
  <c r="J26" i="4"/>
  <c r="J138" i="4" s="1"/>
  <c r="BF18" i="4" l="1"/>
  <c r="N138" i="4"/>
  <c r="AR18" i="4"/>
  <c r="AJ18" i="4"/>
  <c r="AK18" i="4" s="1"/>
  <c r="AL18" i="4" s="1"/>
  <c r="AQ18" i="4"/>
  <c r="AN18" i="4"/>
  <c r="AO18" i="4" s="1"/>
  <c r="AP18" i="4" l="1"/>
  <c r="AV18" i="4"/>
  <c r="O18" i="4" s="1"/>
  <c r="AS18" i="4"/>
  <c r="AT18" i="4" s="1"/>
  <c r="Q18" i="4" s="1"/>
  <c r="O26" i="4" l="1"/>
  <c r="O138" i="4" s="1"/>
  <c r="P18" i="4"/>
  <c r="AY18" i="4" s="1"/>
  <c r="AY138" i="4" s="1"/>
  <c r="W138" i="4" s="1"/>
  <c r="Q26" i="4"/>
  <c r="Q138" i="4" s="1"/>
  <c r="AA138" i="4" l="1"/>
  <c r="Z138" i="4"/>
  <c r="P26" i="4"/>
  <c r="P138" i="4" s="1"/>
  <c r="BB18" i="4"/>
  <c r="R18" i="4"/>
  <c r="R26" i="4" l="1"/>
  <c r="R138" i="4" s="1"/>
  <c r="S18" i="4"/>
  <c r="BJ18" i="4" s="1"/>
  <c r="BJ138" i="4" s="1"/>
  <c r="S138" i="4" l="1"/>
  <c r="T18" i="4"/>
  <c r="T138" i="4" s="1"/>
  <c r="U18" i="4" l="1"/>
  <c r="V18" i="4"/>
  <c r="W18" i="4" s="1"/>
  <c r="BK18" i="4" l="1"/>
  <c r="U138" i="4"/>
</calcChain>
</file>

<file path=xl/sharedStrings.xml><?xml version="1.0" encoding="utf-8"?>
<sst xmlns="http://schemas.openxmlformats.org/spreadsheetml/2006/main" count="531" uniqueCount="215">
  <si>
    <t>AHU Size</t>
  </si>
  <si>
    <t>Supply</t>
  </si>
  <si>
    <t>Installation</t>
  </si>
  <si>
    <t>Ducting</t>
  </si>
  <si>
    <t>Insulation</t>
  </si>
  <si>
    <t>Filtration Stages Sft</t>
  </si>
  <si>
    <t>Dampers</t>
  </si>
  <si>
    <t>S.No.</t>
  </si>
  <si>
    <t>AHU No</t>
  </si>
  <si>
    <t>Class</t>
  </si>
  <si>
    <t>AC</t>
  </si>
  <si>
    <t>VENT</t>
  </si>
  <si>
    <t>CFM</t>
  </si>
  <si>
    <t>Motor Hp</t>
  </si>
  <si>
    <t>TR Load</t>
  </si>
  <si>
    <t xml:space="preserve">Blower </t>
  </si>
  <si>
    <t>Coil Rows</t>
  </si>
  <si>
    <t>Length</t>
  </si>
  <si>
    <t>Width</t>
  </si>
  <si>
    <t>Height</t>
  </si>
  <si>
    <t>Filtration Stages</t>
  </si>
  <si>
    <t>Filtration length</t>
  </si>
  <si>
    <t>Units</t>
  </si>
  <si>
    <t>Qty</t>
  </si>
  <si>
    <t>Rate</t>
  </si>
  <si>
    <t>Amount</t>
  </si>
  <si>
    <t>24 G</t>
  </si>
  <si>
    <t>22G</t>
  </si>
  <si>
    <t>20G</t>
  </si>
  <si>
    <t>9 mm</t>
  </si>
  <si>
    <t>13 mm</t>
  </si>
  <si>
    <t>20 m 100</t>
  </si>
  <si>
    <t>20 m 150</t>
  </si>
  <si>
    <t>10 m 150</t>
  </si>
  <si>
    <t>5 m 300</t>
  </si>
  <si>
    <t>1 m 300</t>
  </si>
  <si>
    <t>0.3 m 300 95%</t>
  </si>
  <si>
    <t>Al. Prof.</t>
  </si>
  <si>
    <t>Fire</t>
  </si>
  <si>
    <t>F</t>
  </si>
  <si>
    <t>C</t>
  </si>
  <si>
    <t>S. No.</t>
  </si>
  <si>
    <t>Room Name</t>
  </si>
  <si>
    <t>Length in Mtrs</t>
  </si>
  <si>
    <t>width in mtrs</t>
  </si>
  <si>
    <t>Height in Ft</t>
  </si>
  <si>
    <t>Area in Sq. Mtrs</t>
  </si>
  <si>
    <t>Volume in Cft</t>
  </si>
  <si>
    <t>No. of Air Ch.</t>
  </si>
  <si>
    <t>Room CFM</t>
  </si>
  <si>
    <t>Occupancy</t>
  </si>
  <si>
    <t>Eqpt. Load in KW</t>
  </si>
  <si>
    <t>Fresh Air Cfm</t>
  </si>
  <si>
    <t>Exhaust Air Cfm</t>
  </si>
  <si>
    <t>Deh.    CFM</t>
  </si>
  <si>
    <t>Resultant CFM</t>
  </si>
  <si>
    <t>Room AC Load in TR</t>
  </si>
  <si>
    <t>CFm AC Load in TR</t>
  </si>
  <si>
    <t>Res. AC load in TR</t>
  </si>
  <si>
    <t>Ch. Water In Gal/m</t>
  </si>
  <si>
    <t>Ch. Water In L/s</t>
  </si>
  <si>
    <t>Act. Pipe in Inch</t>
  </si>
  <si>
    <t>Des. Pipe in Inch</t>
  </si>
  <si>
    <t xml:space="preserve">Class in K / NC 20/5 </t>
  </si>
  <si>
    <t>In Temp in C  (+/-2)</t>
  </si>
  <si>
    <t>RH in % +/- 5</t>
  </si>
  <si>
    <t>Out. Temp. in F</t>
  </si>
  <si>
    <t>Inside Temp. in F</t>
  </si>
  <si>
    <t>Supply System</t>
  </si>
  <si>
    <t>Exhaust System</t>
  </si>
  <si>
    <t>Power cons. in KW/hr</t>
  </si>
  <si>
    <t>Walls</t>
  </si>
  <si>
    <t>Partition</t>
  </si>
  <si>
    <t>Floor</t>
  </si>
  <si>
    <t>Roof</t>
  </si>
  <si>
    <t>Lighting load</t>
  </si>
  <si>
    <t>Eqpt. Load</t>
  </si>
  <si>
    <t>People</t>
  </si>
  <si>
    <t>Fresh Air</t>
  </si>
  <si>
    <t>RSH</t>
  </si>
  <si>
    <t>ERSH</t>
  </si>
  <si>
    <t>ERLH</t>
  </si>
  <si>
    <t>ERTH</t>
  </si>
  <si>
    <t>Outside Air Temp Diff.</t>
  </si>
  <si>
    <t>Grains</t>
  </si>
  <si>
    <t>Grand Total Heat</t>
  </si>
  <si>
    <t>AC Load</t>
  </si>
  <si>
    <t>ADP</t>
  </si>
  <si>
    <t>Deh. CFM</t>
  </si>
  <si>
    <t>Final Filtration</t>
  </si>
  <si>
    <t>NC 20 / 5 Micron</t>
  </si>
  <si>
    <t>Plenum HEPA</t>
  </si>
  <si>
    <t>Terminal Hepa 100K/10K</t>
  </si>
  <si>
    <t>Terminal Hepa 1K/100</t>
  </si>
  <si>
    <t>AHU CFM</t>
  </si>
  <si>
    <t>Static Pressure</t>
  </si>
  <si>
    <t>Blower Model</t>
  </si>
  <si>
    <t>Motor rating in Hp</t>
  </si>
  <si>
    <t>CLEAN ROOM - I Grade - D ( Class 100K)</t>
  </si>
  <si>
    <t>AC - AHU - 001</t>
  </si>
  <si>
    <t>Change Room</t>
  </si>
  <si>
    <t>100K</t>
  </si>
  <si>
    <t>Crystalizer Area 1 ( GF)</t>
  </si>
  <si>
    <t>Crystalizer Area 1 ( FF)</t>
  </si>
  <si>
    <t xml:space="preserve">Dedusting </t>
  </si>
  <si>
    <t>Wash Room</t>
  </si>
  <si>
    <t>NC</t>
  </si>
  <si>
    <t>AC - AHU - 002</t>
  </si>
  <si>
    <t>Crystalizer Area 2 ( GF)</t>
  </si>
  <si>
    <t>Crystalizer Area 2 ( FF)</t>
  </si>
  <si>
    <t>AC - AHU - 003</t>
  </si>
  <si>
    <t>Central Corridor</t>
  </si>
  <si>
    <t>AC - AHU - 004</t>
  </si>
  <si>
    <t>Clean Room Area 1</t>
  </si>
  <si>
    <t>Dedusting</t>
  </si>
  <si>
    <t>AC - AHU - 005</t>
  </si>
  <si>
    <t>Clean Room Area 2</t>
  </si>
  <si>
    <t>AC - AHU - 006</t>
  </si>
  <si>
    <t>Clean Room</t>
  </si>
  <si>
    <t>PM Stores</t>
  </si>
  <si>
    <t>AC - AHU - 007</t>
  </si>
  <si>
    <t>Micronizer</t>
  </si>
  <si>
    <t>Intermediate Clean Room  Area - 1</t>
  </si>
  <si>
    <t>Unclassified Ventilation System ( FAM -001)</t>
  </si>
  <si>
    <t>FAM - 001</t>
  </si>
  <si>
    <t>Carbon Reactor Room (GF)</t>
  </si>
  <si>
    <t>Unclassified Ventilation System ( FAM -002)</t>
  </si>
  <si>
    <t>FAM - 002</t>
  </si>
  <si>
    <t>Carbon Reactor Room (FF)</t>
  </si>
  <si>
    <t>Ventilation System ( Class100D, Associated Rooms)</t>
  </si>
  <si>
    <t>VENT. SUP. &amp; EX. - 001</t>
  </si>
  <si>
    <t>Airlock</t>
  </si>
  <si>
    <t>Primary Change Room</t>
  </si>
  <si>
    <t>Corridor</t>
  </si>
  <si>
    <t>ACC. Stores</t>
  </si>
  <si>
    <t>Office Room</t>
  </si>
  <si>
    <t>Unclassified Ventilation System</t>
  </si>
  <si>
    <t>VENT. SUP. &amp; EX. - 002</t>
  </si>
  <si>
    <t>RCVD Room</t>
  </si>
  <si>
    <t>VTD</t>
  </si>
  <si>
    <t>VENT. SUP. &amp; EX. - 003</t>
  </si>
  <si>
    <t>Int. Mat. Stores</t>
  </si>
  <si>
    <t>Intl/ Miller / Sifter  / Packing</t>
  </si>
  <si>
    <t>Dirty Room</t>
  </si>
  <si>
    <t>Dry Room</t>
  </si>
  <si>
    <t>Drying Area ( FF)</t>
  </si>
  <si>
    <t>Drying Room</t>
  </si>
  <si>
    <t>De-Dusting</t>
  </si>
  <si>
    <t>Stores</t>
  </si>
  <si>
    <t>Grade - D ( Class 100K)</t>
  </si>
  <si>
    <t>Crystalizer Area</t>
  </si>
  <si>
    <t>VENT. SUPPLY &amp; EXHAUST</t>
  </si>
  <si>
    <t>Reactors Area</t>
  </si>
  <si>
    <t>Tray Driers</t>
  </si>
  <si>
    <t>RCVD</t>
  </si>
  <si>
    <t xml:space="preserve">Unclassified Ventilation System </t>
  </si>
  <si>
    <t>VSU</t>
  </si>
  <si>
    <t>MCC Room</t>
  </si>
  <si>
    <t>VFD's Area</t>
  </si>
  <si>
    <t>Room and Cfm AC Load in TR</t>
  </si>
  <si>
    <t>20/5 Micron terminal</t>
  </si>
  <si>
    <t>100K term./Plenum</t>
  </si>
  <si>
    <t>10K terminal</t>
  </si>
  <si>
    <t>1K/100 terminal</t>
  </si>
  <si>
    <t>Terminal Modules</t>
  </si>
  <si>
    <t>Terminal grills</t>
  </si>
  <si>
    <t>Res. AC Load in TR</t>
  </si>
  <si>
    <t>Filtration Level NC 5 Micron / 100K/10K/1K/100</t>
  </si>
  <si>
    <t>NC Supply Terminal  Mod/Filt/ Grils</t>
  </si>
  <si>
    <t>Plenum Hepa /Terminal 100K</t>
  </si>
  <si>
    <t>Terminal 10K</t>
  </si>
  <si>
    <t>Terminal 1K/100</t>
  </si>
  <si>
    <t>AHU Cfm</t>
  </si>
  <si>
    <t>KW/Hr</t>
  </si>
  <si>
    <t>4 Pole Eff2 Non-Flame Proof Motors</t>
  </si>
  <si>
    <t>4 Pole Eff1 Non-Flame Proof Motors</t>
  </si>
  <si>
    <t>Motor</t>
  </si>
  <si>
    <t>Quote Price</t>
  </si>
  <si>
    <t>Margin 50%</t>
  </si>
  <si>
    <t>Subtotal</t>
  </si>
  <si>
    <t>VAT5%</t>
  </si>
  <si>
    <t>After Disc</t>
  </si>
  <si>
    <t>ED</t>
  </si>
  <si>
    <t xml:space="preserve">Basic </t>
  </si>
  <si>
    <t>VAT</t>
  </si>
  <si>
    <t>Sub-Total</t>
  </si>
  <si>
    <t>Margin</t>
  </si>
  <si>
    <t>4 Pole Eff2 Flame Proof Motors</t>
  </si>
  <si>
    <t>4 Pole Eff1 Flame Proof Motors</t>
  </si>
  <si>
    <t>Model</t>
  </si>
  <si>
    <t>Sale Price</t>
  </si>
  <si>
    <t>Net Landing</t>
  </si>
  <si>
    <t>Transport</t>
  </si>
  <si>
    <t>Octroi</t>
  </si>
  <si>
    <t>CST</t>
  </si>
  <si>
    <t>Transit Insurance</t>
  </si>
  <si>
    <t>Packing &amp; Forwarding</t>
  </si>
  <si>
    <t>Net Basic Price</t>
  </si>
  <si>
    <t>Sale Price Scroll 1</t>
  </si>
  <si>
    <t>Sale Price Scroll 2</t>
  </si>
  <si>
    <t>FDA</t>
  </si>
  <si>
    <t>BDB</t>
  </si>
  <si>
    <t>KAT</t>
  </si>
  <si>
    <t xml:space="preserve"> 07 / 07</t>
  </si>
  <si>
    <t xml:space="preserve"> 08 / 08</t>
  </si>
  <si>
    <t xml:space="preserve"> 09 / 07</t>
  </si>
  <si>
    <t xml:space="preserve"> 09 / 09</t>
  </si>
  <si>
    <t xml:space="preserve"> 10 / 08</t>
  </si>
  <si>
    <t xml:space="preserve"> 10 / 10</t>
  </si>
  <si>
    <t xml:space="preserve"> 12 / 09</t>
  </si>
  <si>
    <t xml:space="preserve"> 12 / 12</t>
  </si>
  <si>
    <t xml:space="preserve"> 15 / 11</t>
  </si>
  <si>
    <t xml:space="preserve"> 15 / 15</t>
  </si>
  <si>
    <t xml:space="preserve"> 18 / 13</t>
  </si>
  <si>
    <t xml:space="preserve"> 18 /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</si>
</sst>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3B0DE3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3B0DE3"/>
      <name val="Arial"/>
      <family val="2"/>
    </font>
    <font>
      <sz val="11"/>
      <color rgb="FFFF0000"/>
      <name val="Arial"/>
      <family val="2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00B050"/>
      <name val="Arial"/>
      <family val="2"/>
    </font>
    <font>
      <b/>
      <sz val="11"/>
      <color rgb="FF0070C0"/>
      <name val="Arial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2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46">
    <xf numFmtId="0" fontId="0" fillId="0" borderId="0" xfId="0"/>
    <xf numFmtId="0" fontId="1" fillId="0" borderId="3" xfId="0" applyFont="1" applyBorder="1"/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right"/>
    </xf>
    <xf numFmtId="0" fontId="2" fillId="2" borderId="7" xfId="0" applyFont="1" applyFill="1" applyBorder="1" applyAlignment="1">
      <alignment horizontal="right"/>
    </xf>
    <xf numFmtId="1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164" fontId="2" fillId="0" borderId="8" xfId="0" applyNumberFormat="1" applyFont="1" applyBorder="1" applyAlignment="1">
      <alignment horizontal="center"/>
    </xf>
    <xf numFmtId="1" fontId="2" fillId="3" borderId="7" xfId="0" applyNumberFormat="1" applyFont="1" applyFill="1" applyBorder="1"/>
    <xf numFmtId="164" fontId="2" fillId="3" borderId="8" xfId="0" applyNumberFormat="1" applyFont="1" applyFill="1" applyBorder="1" applyAlignment="1">
      <alignment horizontal="center"/>
    </xf>
    <xf numFmtId="164" fontId="2" fillId="2" borderId="9" xfId="0" applyNumberFormat="1" applyFont="1" applyFill="1" applyBorder="1" applyAlignment="1">
      <alignment horizontal="right"/>
    </xf>
    <xf numFmtId="0" fontId="2" fillId="2" borderId="10" xfId="0" applyFont="1" applyFill="1" applyBorder="1" applyAlignment="1">
      <alignment horizontal="right"/>
    </xf>
    <xf numFmtId="1" fontId="3" fillId="0" borderId="11" xfId="0" applyNumberFormat="1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164" fontId="2" fillId="0" borderId="12" xfId="0" applyNumberFormat="1" applyFont="1" applyBorder="1" applyAlignment="1">
      <alignment horizontal="center"/>
    </xf>
    <xf numFmtId="1" fontId="2" fillId="3" borderId="10" xfId="0" applyNumberFormat="1" applyFont="1" applyFill="1" applyBorder="1"/>
    <xf numFmtId="164" fontId="2" fillId="3" borderId="12" xfId="0" applyNumberFormat="1" applyFont="1" applyFill="1" applyBorder="1" applyAlignment="1">
      <alignment horizontal="center"/>
    </xf>
    <xf numFmtId="0" fontId="0" fillId="0" borderId="6" xfId="0" applyBorder="1"/>
    <xf numFmtId="0" fontId="0" fillId="0" borderId="8" xfId="0" applyBorder="1"/>
    <xf numFmtId="164" fontId="2" fillId="2" borderId="7" xfId="0" applyNumberFormat="1" applyFont="1" applyFill="1" applyBorder="1" applyAlignment="1">
      <alignment horizontal="center"/>
    </xf>
    <xf numFmtId="164" fontId="2" fillId="2" borderId="10" xfId="0" applyNumberFormat="1" applyFont="1" applyFill="1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8" fillId="0" borderId="19" xfId="0" applyFont="1" applyBorder="1"/>
    <xf numFmtId="0" fontId="3" fillId="3" borderId="20" xfId="0" applyFont="1" applyFill="1" applyBorder="1"/>
    <xf numFmtId="0" fontId="3" fillId="3" borderId="21" xfId="0" applyFont="1" applyFill="1" applyBorder="1"/>
    <xf numFmtId="0" fontId="2" fillId="3" borderId="21" xfId="0" applyFont="1" applyFill="1" applyBorder="1"/>
    <xf numFmtId="0" fontId="2" fillId="3" borderId="21" xfId="0" applyFont="1" applyFill="1" applyBorder="1" applyAlignment="1">
      <alignment horizontal="center" vertical="center"/>
    </xf>
    <xf numFmtId="0" fontId="3" fillId="3" borderId="22" xfId="0" applyFont="1" applyFill="1" applyBorder="1"/>
    <xf numFmtId="0" fontId="9" fillId="0" borderId="18" xfId="0" applyFont="1" applyBorder="1"/>
    <xf numFmtId="0" fontId="5" fillId="0" borderId="19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3" borderId="21" xfId="0" applyFont="1" applyFill="1" applyBorder="1"/>
    <xf numFmtId="0" fontId="7" fillId="3" borderId="21" xfId="0" applyFont="1" applyFill="1" applyBorder="1"/>
    <xf numFmtId="0" fontId="7" fillId="0" borderId="21" xfId="0" applyFont="1" applyBorder="1"/>
    <xf numFmtId="0" fontId="7" fillId="0" borderId="19" xfId="0" applyFont="1" applyBorder="1"/>
    <xf numFmtId="1" fontId="4" fillId="0" borderId="19" xfId="0" applyNumberFormat="1" applyFont="1" applyBorder="1"/>
    <xf numFmtId="1" fontId="3" fillId="3" borderId="20" xfId="0" applyNumberFormat="1" applyFont="1" applyFill="1" applyBorder="1"/>
    <xf numFmtId="1" fontId="3" fillId="3" borderId="21" xfId="0" applyNumberFormat="1" applyFont="1" applyFill="1" applyBorder="1"/>
    <xf numFmtId="1" fontId="3" fillId="3" borderId="21" xfId="0" applyNumberFormat="1" applyFont="1" applyFill="1" applyBorder="1" applyAlignment="1">
      <alignment horizontal="center"/>
    </xf>
    <xf numFmtId="0" fontId="10" fillId="0" borderId="6" xfId="0" applyFont="1" applyBorder="1"/>
    <xf numFmtId="1" fontId="4" fillId="0" borderId="18" xfId="0" applyNumberFormat="1" applyFont="1" applyBorder="1" applyAlignment="1">
      <alignment horizontal="center"/>
    </xf>
    <xf numFmtId="1" fontId="2" fillId="3" borderId="21" xfId="0" applyNumberFormat="1" applyFont="1" applyFill="1" applyBorder="1"/>
    <xf numFmtId="1" fontId="2" fillId="3" borderId="21" xfId="0" applyNumberFormat="1" applyFont="1" applyFill="1" applyBorder="1" applyAlignment="1">
      <alignment horizontal="center"/>
    </xf>
    <xf numFmtId="1" fontId="3" fillId="3" borderId="22" xfId="0" applyNumberFormat="1" applyFont="1" applyFill="1" applyBorder="1"/>
    <xf numFmtId="1" fontId="5" fillId="0" borderId="18" xfId="0" applyNumberFormat="1" applyFont="1" applyBorder="1"/>
    <xf numFmtId="1" fontId="5" fillId="0" borderId="19" xfId="0" applyNumberFormat="1" applyFont="1" applyBorder="1" applyAlignment="1">
      <alignment horizontal="center"/>
    </xf>
    <xf numFmtId="16" fontId="6" fillId="0" borderId="18" xfId="0" applyNumberFormat="1" applyFont="1" applyBorder="1" applyAlignment="1">
      <alignment horizontal="center" vertical="center"/>
    </xf>
    <xf numFmtId="1" fontId="6" fillId="3" borderId="21" xfId="0" applyNumberFormat="1" applyFont="1" applyFill="1" applyBorder="1"/>
    <xf numFmtId="1" fontId="7" fillId="3" borderId="21" xfId="0" applyNumberFormat="1" applyFont="1" applyFill="1" applyBorder="1"/>
    <xf numFmtId="1" fontId="7" fillId="3" borderId="21" xfId="0" applyNumberFormat="1" applyFont="1" applyFill="1" applyBorder="1" applyAlignment="1">
      <alignment horizontal="center"/>
    </xf>
    <xf numFmtId="1" fontId="6" fillId="0" borderId="21" xfId="0" applyNumberFormat="1" applyFont="1" applyBorder="1"/>
    <xf numFmtId="1" fontId="6" fillId="0" borderId="19" xfId="0" applyNumberFormat="1" applyFont="1" applyBorder="1"/>
    <xf numFmtId="1" fontId="6" fillId="0" borderId="18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" fontId="4" fillId="0" borderId="24" xfId="0" applyNumberFormat="1" applyFont="1" applyBorder="1"/>
    <xf numFmtId="1" fontId="3" fillId="3" borderId="25" xfId="0" applyNumberFormat="1" applyFont="1" applyFill="1" applyBorder="1"/>
    <xf numFmtId="1" fontId="3" fillId="3" borderId="26" xfId="0" applyNumberFormat="1" applyFont="1" applyFill="1" applyBorder="1"/>
    <xf numFmtId="1" fontId="3" fillId="3" borderId="26" xfId="0" applyNumberFormat="1" applyFont="1" applyFill="1" applyBorder="1" applyAlignment="1">
      <alignment horizontal="center"/>
    </xf>
    <xf numFmtId="1" fontId="2" fillId="3" borderId="26" xfId="0" applyNumberFormat="1" applyFont="1" applyFill="1" applyBorder="1"/>
    <xf numFmtId="1" fontId="2" fillId="3" borderId="26" xfId="0" applyNumberFormat="1" applyFont="1" applyFill="1" applyBorder="1" applyAlignment="1">
      <alignment horizontal="center"/>
    </xf>
    <xf numFmtId="1" fontId="3" fillId="3" borderId="27" xfId="0" applyNumberFormat="1" applyFont="1" applyFill="1" applyBorder="1"/>
    <xf numFmtId="1" fontId="5" fillId="0" borderId="23" xfId="0" applyNumberFormat="1" applyFont="1" applyBorder="1"/>
    <xf numFmtId="1" fontId="5" fillId="0" borderId="24" xfId="0" applyNumberFormat="1" applyFont="1" applyBorder="1" applyAlignment="1">
      <alignment horizontal="center"/>
    </xf>
    <xf numFmtId="1" fontId="6" fillId="0" borderId="23" xfId="0" applyNumberFormat="1" applyFont="1" applyBorder="1" applyAlignment="1">
      <alignment horizontal="center"/>
    </xf>
    <xf numFmtId="1" fontId="6" fillId="3" borderId="26" xfId="0" applyNumberFormat="1" applyFont="1" applyFill="1" applyBorder="1"/>
    <xf numFmtId="1" fontId="7" fillId="3" borderId="26" xfId="0" applyNumberFormat="1" applyFont="1" applyFill="1" applyBorder="1"/>
    <xf numFmtId="1" fontId="7" fillId="3" borderId="26" xfId="0" applyNumberFormat="1" applyFont="1" applyFill="1" applyBorder="1" applyAlignment="1">
      <alignment horizontal="center"/>
    </xf>
    <xf numFmtId="1" fontId="6" fillId="0" borderId="26" xfId="0" applyNumberFormat="1" applyFont="1" applyBorder="1"/>
    <xf numFmtId="1" fontId="6" fillId="0" borderId="24" xfId="0" applyNumberFormat="1" applyFont="1" applyBorder="1"/>
    <xf numFmtId="0" fontId="0" fillId="0" borderId="16" xfId="0" applyBorder="1"/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" fontId="11" fillId="0" borderId="21" xfId="0" applyNumberFormat="1" applyFon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0" fontId="0" fillId="0" borderId="21" xfId="0" applyBorder="1"/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0" fontId="0" fillId="0" borderId="26" xfId="0" applyBorder="1"/>
    <xf numFmtId="0" fontId="0" fillId="0" borderId="32" xfId="0" applyBorder="1"/>
    <xf numFmtId="0" fontId="12" fillId="0" borderId="28" xfId="0" applyFont="1" applyBorder="1"/>
    <xf numFmtId="0" fontId="12" fillId="0" borderId="30" xfId="0" applyFont="1" applyBorder="1"/>
    <xf numFmtId="2" fontId="0" fillId="0" borderId="21" xfId="0" applyNumberFormat="1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21" xfId="0" applyBorder="1" applyAlignment="1">
      <alignment horizontal="left" vertical="center"/>
    </xf>
    <xf numFmtId="0" fontId="12" fillId="0" borderId="21" xfId="0" applyFont="1" applyBorder="1" applyAlignment="1">
      <alignment horizontal="left" vertical="center"/>
    </xf>
    <xf numFmtId="0" fontId="12" fillId="0" borderId="21" xfId="0" applyFont="1" applyBorder="1" applyAlignment="1">
      <alignment horizontal="center" vertical="center"/>
    </xf>
    <xf numFmtId="1" fontId="12" fillId="0" borderId="21" xfId="0" applyNumberFormat="1" applyFont="1" applyBorder="1" applyAlignment="1">
      <alignment horizontal="center" vertical="center"/>
    </xf>
    <xf numFmtId="1" fontId="13" fillId="0" borderId="21" xfId="0" applyNumberFormat="1" applyFont="1" applyBorder="1" applyAlignment="1">
      <alignment horizontal="center" vertical="center"/>
    </xf>
    <xf numFmtId="0" fontId="0" fillId="0" borderId="29" xfId="0" applyBorder="1"/>
    <xf numFmtId="0" fontId="12" fillId="0" borderId="35" xfId="0" applyFont="1" applyBorder="1"/>
    <xf numFmtId="0" fontId="12" fillId="0" borderId="33" xfId="0" applyFont="1" applyBorder="1"/>
    <xf numFmtId="0" fontId="0" fillId="0" borderId="15" xfId="0" applyBorder="1"/>
    <xf numFmtId="0" fontId="0" fillId="0" borderId="20" xfId="0" applyBorder="1"/>
    <xf numFmtId="0" fontId="0" fillId="0" borderId="25" xfId="0" applyBorder="1"/>
    <xf numFmtId="0" fontId="0" fillId="0" borderId="26" xfId="0" applyBorder="1" applyAlignment="1">
      <alignment vertical="center"/>
    </xf>
    <xf numFmtId="1" fontId="12" fillId="0" borderId="26" xfId="0" applyNumberFormat="1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1" fontId="13" fillId="0" borderId="26" xfId="0" applyNumberFormat="1" applyFont="1" applyBorder="1" applyAlignment="1">
      <alignment horizontal="center" vertical="center"/>
    </xf>
    <xf numFmtId="164" fontId="12" fillId="0" borderId="26" xfId="0" applyNumberFormat="1" applyFont="1" applyBorder="1" applyAlignment="1">
      <alignment horizontal="center" vertical="center"/>
    </xf>
    <xf numFmtId="0" fontId="0" fillId="0" borderId="31" xfId="0" applyBorder="1"/>
    <xf numFmtId="0" fontId="0" fillId="0" borderId="37" xfId="0" applyBorder="1"/>
    <xf numFmtId="0" fontId="0" fillId="0" borderId="24" xfId="0" applyBorder="1" applyAlignment="1">
      <alignment horizontal="center" vertical="center"/>
    </xf>
    <xf numFmtId="0" fontId="0" fillId="0" borderId="23" xfId="0" applyBorder="1"/>
    <xf numFmtId="1" fontId="12" fillId="0" borderId="26" xfId="0" applyNumberFormat="1" applyFont="1" applyBorder="1"/>
    <xf numFmtId="0" fontId="12" fillId="0" borderId="26" xfId="0" applyFont="1" applyBorder="1"/>
    <xf numFmtId="164" fontId="12" fillId="0" borderId="26" xfId="0" applyNumberFormat="1" applyFont="1" applyBorder="1"/>
    <xf numFmtId="0" fontId="0" fillId="0" borderId="24" xfId="0" applyBorder="1"/>
    <xf numFmtId="0" fontId="0" fillId="0" borderId="3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1" fontId="0" fillId="0" borderId="34" xfId="0" applyNumberFormat="1" applyBorder="1" applyAlignment="1">
      <alignment horizontal="center" vertical="center"/>
    </xf>
    <xf numFmtId="164" fontId="12" fillId="0" borderId="21" xfId="0" applyNumberFormat="1" applyFont="1" applyBorder="1" applyAlignment="1">
      <alignment vertical="center"/>
    </xf>
    <xf numFmtId="164" fontId="0" fillId="0" borderId="34" xfId="0" applyNumberFormat="1" applyBorder="1" applyAlignment="1">
      <alignment horizontal="center" vertical="center"/>
    </xf>
    <xf numFmtId="0" fontId="12" fillId="0" borderId="19" xfId="0" applyFont="1" applyBorder="1" applyAlignment="1">
      <alignment vertical="center"/>
    </xf>
    <xf numFmtId="0" fontId="12" fillId="0" borderId="30" xfId="0" applyFont="1" applyBorder="1" applyAlignment="1">
      <alignment horizontal="center" vertical="center"/>
    </xf>
    <xf numFmtId="1" fontId="11" fillId="0" borderId="34" xfId="0" applyNumberFormat="1" applyFont="1" applyBorder="1" applyAlignment="1">
      <alignment horizontal="center" vertical="center"/>
    </xf>
    <xf numFmtId="0" fontId="12" fillId="0" borderId="26" xfId="0" applyFont="1" applyBorder="1" applyAlignment="1">
      <alignment horizontal="left" vertical="center"/>
    </xf>
    <xf numFmtId="164" fontId="12" fillId="0" borderId="34" xfId="0" applyNumberFormat="1" applyFont="1" applyBorder="1" applyAlignment="1">
      <alignment vertical="center"/>
    </xf>
    <xf numFmtId="0" fontId="0" fillId="0" borderId="26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12" fillId="0" borderId="38" xfId="0" applyFont="1" applyBorder="1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" fontId="11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41" xfId="0" applyFont="1" applyBorder="1" applyAlignment="1">
      <alignment horizontal="center" vertical="center"/>
    </xf>
    <xf numFmtId="164" fontId="12" fillId="0" borderId="21" xfId="0" applyNumberFormat="1" applyFont="1" applyBorder="1" applyAlignment="1">
      <alignment horizontal="center" vertical="center"/>
    </xf>
    <xf numFmtId="0" fontId="0" fillId="4" borderId="2" xfId="0" applyFill="1" applyBorder="1"/>
    <xf numFmtId="0" fontId="0" fillId="4" borderId="3" xfId="0" applyFill="1" applyBorder="1"/>
    <xf numFmtId="0" fontId="0" fillId="4" borderId="0" xfId="0" applyFill="1"/>
    <xf numFmtId="0" fontId="0" fillId="4" borderId="8" xfId="0" applyFill="1" applyBorder="1"/>
    <xf numFmtId="164" fontId="0" fillId="0" borderId="26" xfId="0" applyNumberFormat="1" applyBorder="1" applyAlignment="1">
      <alignment horizontal="center" vertical="center" textRotation="90"/>
    </xf>
    <xf numFmtId="164" fontId="12" fillId="0" borderId="26" xfId="0" applyNumberFormat="1" applyFont="1" applyBorder="1" applyAlignment="1">
      <alignment vertical="center" textRotation="90"/>
    </xf>
    <xf numFmtId="164" fontId="12" fillId="0" borderId="21" xfId="0" applyNumberFormat="1" applyFont="1" applyBorder="1" applyAlignment="1">
      <alignment vertical="center" textRotation="90"/>
    </xf>
    <xf numFmtId="0" fontId="0" fillId="0" borderId="21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12" fillId="0" borderId="24" xfId="0" applyFont="1" applyBorder="1" applyAlignment="1">
      <alignment vertical="center" textRotation="90"/>
    </xf>
    <xf numFmtId="0" fontId="12" fillId="0" borderId="19" xfId="0" applyFont="1" applyBorder="1" applyAlignment="1">
      <alignment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19" xfId="0" applyBorder="1" applyAlignment="1">
      <alignment vertical="center" textRotation="90"/>
    </xf>
    <xf numFmtId="0" fontId="12" fillId="0" borderId="24" xfId="0" applyFont="1" applyBorder="1" applyAlignment="1">
      <alignment horizontal="center" vertical="center" textRotation="90"/>
    </xf>
    <xf numFmtId="0" fontId="0" fillId="0" borderId="24" xfId="0" applyBorder="1" applyAlignment="1">
      <alignment vertical="center" textRotation="90"/>
    </xf>
    <xf numFmtId="2" fontId="20" fillId="6" borderId="26" xfId="0" applyNumberFormat="1" applyFont="1" applyFill="1" applyBorder="1" applyAlignment="1">
      <alignment horizontal="center" vertical="center"/>
    </xf>
    <xf numFmtId="0" fontId="20" fillId="6" borderId="26" xfId="0" applyFont="1" applyFill="1" applyBorder="1" applyAlignment="1">
      <alignment horizontal="center" vertical="center"/>
    </xf>
    <xf numFmtId="1" fontId="20" fillId="6" borderId="26" xfId="0" applyNumberFormat="1" applyFont="1" applyFill="1" applyBorder="1" applyAlignment="1">
      <alignment horizontal="center" vertical="center"/>
    </xf>
    <xf numFmtId="164" fontId="20" fillId="6" borderId="26" xfId="0" applyNumberFormat="1" applyFont="1" applyFill="1" applyBorder="1" applyAlignment="1">
      <alignment horizontal="center" vertical="center"/>
    </xf>
    <xf numFmtId="0" fontId="19" fillId="6" borderId="26" xfId="0" applyFont="1" applyFill="1" applyBorder="1" applyAlignment="1">
      <alignment horizontal="center" vertical="center"/>
    </xf>
    <xf numFmtId="2" fontId="20" fillId="6" borderId="21" xfId="0" applyNumberFormat="1" applyFont="1" applyFill="1" applyBorder="1" applyAlignment="1">
      <alignment horizontal="center" vertical="center"/>
    </xf>
    <xf numFmtId="0" fontId="19" fillId="6" borderId="21" xfId="0" applyFont="1" applyFill="1" applyBorder="1" applyAlignment="1">
      <alignment horizontal="center" vertical="center"/>
    </xf>
    <xf numFmtId="1" fontId="20" fillId="6" borderId="21" xfId="0" applyNumberFormat="1" applyFont="1" applyFill="1" applyBorder="1" applyAlignment="1">
      <alignment horizontal="center" vertical="center"/>
    </xf>
    <xf numFmtId="0" fontId="20" fillId="6" borderId="21" xfId="0" applyFont="1" applyFill="1" applyBorder="1" applyAlignment="1">
      <alignment horizontal="center" vertical="center"/>
    </xf>
    <xf numFmtId="164" fontId="20" fillId="6" borderId="21" xfId="0" applyNumberFormat="1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left" vertical="center"/>
    </xf>
    <xf numFmtId="0" fontId="0" fillId="3" borderId="16" xfId="0" applyFill="1" applyBorder="1" applyAlignment="1">
      <alignment horizontal="center" vertical="center"/>
    </xf>
    <xf numFmtId="164" fontId="0" fillId="3" borderId="16" xfId="0" applyNumberFormat="1" applyFill="1" applyBorder="1" applyAlignment="1">
      <alignment horizontal="center" vertical="center"/>
    </xf>
    <xf numFmtId="2" fontId="0" fillId="3" borderId="16" xfId="0" applyNumberFormat="1" applyFill="1" applyBorder="1" applyAlignment="1">
      <alignment horizontal="center" vertical="center"/>
    </xf>
    <xf numFmtId="1" fontId="0" fillId="3" borderId="16" xfId="0" applyNumberFormat="1" applyFill="1" applyBorder="1" applyAlignment="1">
      <alignment horizontal="center" vertical="center"/>
    </xf>
    <xf numFmtId="1" fontId="11" fillId="3" borderId="16" xfId="0" applyNumberFormat="1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31" xfId="0" applyFill="1" applyBorder="1"/>
    <xf numFmtId="0" fontId="0" fillId="3" borderId="32" xfId="0" applyFill="1" applyBorder="1"/>
    <xf numFmtId="164" fontId="0" fillId="3" borderId="16" xfId="0" applyNumberFormat="1" applyFill="1" applyBorder="1" applyAlignment="1">
      <alignment vertical="center" textRotation="90"/>
    </xf>
    <xf numFmtId="0" fontId="0" fillId="3" borderId="14" xfId="0" applyFill="1" applyBorder="1" applyAlignment="1">
      <alignment horizontal="center" vertical="center" textRotation="90"/>
    </xf>
    <xf numFmtId="164" fontId="12" fillId="3" borderId="16" xfId="0" applyNumberFormat="1" applyFont="1" applyFill="1" applyBorder="1" applyAlignment="1">
      <alignment vertical="center" textRotation="90"/>
    </xf>
    <xf numFmtId="0" fontId="12" fillId="3" borderId="14" xfId="0" applyFont="1" applyFill="1" applyBorder="1" applyAlignment="1">
      <alignment vertical="center" textRotation="90"/>
    </xf>
    <xf numFmtId="1" fontId="12" fillId="3" borderId="16" xfId="0" applyNumberFormat="1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1" fontId="13" fillId="3" borderId="16" xfId="0" applyNumberFormat="1" applyFont="1" applyFill="1" applyBorder="1" applyAlignment="1">
      <alignment horizontal="center" vertical="center"/>
    </xf>
    <xf numFmtId="164" fontId="12" fillId="3" borderId="16" xfId="0" applyNumberFormat="1" applyFont="1" applyFill="1" applyBorder="1" applyAlignment="1">
      <alignment horizontal="center" vertical="center"/>
    </xf>
    <xf numFmtId="164" fontId="0" fillId="3" borderId="16" xfId="0" applyNumberFormat="1" applyFill="1" applyBorder="1" applyAlignment="1">
      <alignment horizontal="center" vertical="center" textRotation="90"/>
    </xf>
    <xf numFmtId="0" fontId="0" fillId="3" borderId="16" xfId="0" applyFill="1" applyBorder="1" applyAlignment="1">
      <alignment horizontal="center" vertical="center" textRotation="90"/>
    </xf>
    <xf numFmtId="0" fontId="0" fillId="3" borderId="14" xfId="0" applyFill="1" applyBorder="1" applyAlignment="1">
      <alignment vertical="center" textRotation="90"/>
    </xf>
    <xf numFmtId="0" fontId="0" fillId="3" borderId="20" xfId="0" applyFill="1" applyBorder="1"/>
    <xf numFmtId="0" fontId="0" fillId="3" borderId="21" xfId="0" applyFill="1" applyBorder="1"/>
    <xf numFmtId="0" fontId="12" fillId="3" borderId="13" xfId="0" applyFont="1" applyFill="1" applyBorder="1" applyAlignment="1">
      <alignment horizontal="center" vertical="center"/>
    </xf>
    <xf numFmtId="0" fontId="16" fillId="3" borderId="16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textRotation="90" wrapText="1"/>
    </xf>
    <xf numFmtId="0" fontId="12" fillId="3" borderId="14" xfId="0" applyFont="1" applyFill="1" applyBorder="1" applyAlignment="1">
      <alignment horizontal="center" vertical="center" textRotation="90"/>
    </xf>
    <xf numFmtId="0" fontId="17" fillId="3" borderId="16" xfId="0" applyFont="1" applyFill="1" applyBorder="1" applyAlignment="1">
      <alignment vertical="center"/>
    </xf>
    <xf numFmtId="164" fontId="12" fillId="0" borderId="26" xfId="0" applyNumberFormat="1" applyFont="1" applyBorder="1" applyAlignment="1">
      <alignment horizontal="center" vertical="center" textRotation="90"/>
    </xf>
    <xf numFmtId="0" fontId="12" fillId="3" borderId="16" xfId="0" applyFont="1" applyFill="1" applyBorder="1" applyAlignment="1">
      <alignment horizontal="center" vertical="center" textRotation="90"/>
    </xf>
    <xf numFmtId="164" fontId="12" fillId="3" borderId="16" xfId="0" applyNumberFormat="1" applyFont="1" applyFill="1" applyBorder="1" applyAlignment="1">
      <alignment horizontal="center" vertical="center" textRotation="90"/>
    </xf>
    <xf numFmtId="0" fontId="25" fillId="4" borderId="0" xfId="0" applyFont="1" applyFill="1"/>
    <xf numFmtId="0" fontId="19" fillId="4" borderId="0" xfId="0" applyFont="1" applyFill="1"/>
    <xf numFmtId="0" fontId="22" fillId="0" borderId="0" xfId="0" applyFont="1" applyAlignment="1">
      <alignment horizontal="left"/>
    </xf>
    <xf numFmtId="0" fontId="27" fillId="0" borderId="0" xfId="0" applyFont="1"/>
    <xf numFmtId="0" fontId="27" fillId="0" borderId="0" xfId="0" applyFont="1" applyAlignment="1">
      <alignment horizontal="left"/>
    </xf>
    <xf numFmtId="0" fontId="0" fillId="0" borderId="43" xfId="0" applyBorder="1"/>
    <xf numFmtId="0" fontId="0" fillId="0" borderId="41" xfId="0" applyBorder="1"/>
    <xf numFmtId="0" fontId="0" fillId="0" borderId="4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2" fillId="0" borderId="30" xfId="0" applyFont="1" applyBorder="1" applyAlignment="1">
      <alignment horizontal="left" vertical="center"/>
    </xf>
    <xf numFmtId="164" fontId="0" fillId="0" borderId="30" xfId="0" applyNumberFormat="1" applyBorder="1" applyAlignment="1">
      <alignment horizontal="center" vertical="center"/>
    </xf>
    <xf numFmtId="2" fontId="12" fillId="0" borderId="30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13" fillId="0" borderId="30" xfId="0" applyNumberFormat="1" applyFont="1" applyBorder="1" applyAlignment="1">
      <alignment horizontal="center" vertical="center"/>
    </xf>
    <xf numFmtId="164" fontId="12" fillId="0" borderId="30" xfId="0" applyNumberFormat="1" applyFon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64" fontId="20" fillId="0" borderId="26" xfId="0" applyNumberFormat="1" applyFont="1" applyBorder="1" applyAlignment="1">
      <alignment horizontal="center" vertical="center"/>
    </xf>
    <xf numFmtId="0" fontId="25" fillId="4" borderId="2" xfId="0" applyFont="1" applyFill="1" applyBorder="1"/>
    <xf numFmtId="0" fontId="19" fillId="4" borderId="2" xfId="0" applyFont="1" applyFill="1" applyBorder="1"/>
    <xf numFmtId="0" fontId="25" fillId="4" borderId="11" xfId="0" applyFont="1" applyFill="1" applyBorder="1"/>
    <xf numFmtId="0" fontId="19" fillId="4" borderId="11" xfId="0" applyFont="1" applyFill="1" applyBorder="1"/>
    <xf numFmtId="0" fontId="0" fillId="4" borderId="11" xfId="0" applyFill="1" applyBorder="1"/>
    <xf numFmtId="0" fontId="0" fillId="4" borderId="12" xfId="0" applyFill="1" applyBorder="1"/>
    <xf numFmtId="0" fontId="11" fillId="0" borderId="34" xfId="0" applyFont="1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13" fillId="5" borderId="26" xfId="0" applyFont="1" applyFill="1" applyBorder="1" applyAlignment="1">
      <alignment horizontal="center" textRotation="90" wrapText="1"/>
    </xf>
    <xf numFmtId="0" fontId="13" fillId="5" borderId="26" xfId="0" applyFont="1" applyFill="1" applyBorder="1" applyAlignment="1">
      <alignment textRotation="90"/>
    </xf>
    <xf numFmtId="0" fontId="13" fillId="5" borderId="26" xfId="0" applyFont="1" applyFill="1" applyBorder="1" applyAlignment="1">
      <alignment horizontal="left" textRotation="90" wrapText="1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 wrapText="1"/>
    </xf>
    <xf numFmtId="164" fontId="12" fillId="0" borderId="41" xfId="0" applyNumberFormat="1" applyFont="1" applyBorder="1" applyAlignment="1">
      <alignment horizontal="center" vertical="center" wrapText="1"/>
    </xf>
    <xf numFmtId="0" fontId="12" fillId="0" borderId="43" xfId="0" applyFont="1" applyBorder="1"/>
    <xf numFmtId="0" fontId="12" fillId="0" borderId="41" xfId="0" applyFont="1" applyBorder="1"/>
    <xf numFmtId="0" fontId="12" fillId="0" borderId="42" xfId="0" applyFont="1" applyBorder="1"/>
    <xf numFmtId="0" fontId="0" fillId="3" borderId="36" xfId="0" applyFill="1" applyBorder="1"/>
    <xf numFmtId="0" fontId="28" fillId="0" borderId="36" xfId="0" applyFont="1" applyBorder="1"/>
    <xf numFmtId="0" fontId="28" fillId="3" borderId="36" xfId="0" applyFont="1" applyFill="1" applyBorder="1"/>
    <xf numFmtId="0" fontId="28" fillId="0" borderId="19" xfId="0" applyFont="1" applyBorder="1"/>
    <xf numFmtId="0" fontId="28" fillId="3" borderId="19" xfId="0" applyFont="1" applyFill="1" applyBorder="1"/>
    <xf numFmtId="0" fontId="0" fillId="0" borderId="36" xfId="0" applyBorder="1"/>
    <xf numFmtId="164" fontId="12" fillId="5" borderId="34" xfId="0" applyNumberFormat="1" applyFont="1" applyFill="1" applyBorder="1" applyAlignment="1">
      <alignment horizontal="left" vertical="center"/>
    </xf>
    <xf numFmtId="0" fontId="0" fillId="0" borderId="34" xfId="0" applyBorder="1"/>
    <xf numFmtId="0" fontId="0" fillId="5" borderId="23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6" xfId="0" applyFill="1" applyBorder="1"/>
    <xf numFmtId="164" fontId="0" fillId="5" borderId="26" xfId="0" applyNumberFormat="1" applyFill="1" applyBorder="1" applyAlignment="1">
      <alignment horizontal="center" vertical="center"/>
    </xf>
    <xf numFmtId="164" fontId="23" fillId="5" borderId="26" xfId="0" applyNumberFormat="1" applyFont="1" applyFill="1" applyBorder="1" applyAlignment="1">
      <alignment horizontal="center" vertical="center" textRotation="90"/>
    </xf>
    <xf numFmtId="0" fontId="24" fillId="5" borderId="26" xfId="0" applyFont="1" applyFill="1" applyBorder="1" applyAlignment="1">
      <alignment horizontal="center" vertical="center" textRotation="90"/>
    </xf>
    <xf numFmtId="0" fontId="23" fillId="5" borderId="26" xfId="0" applyFont="1" applyFill="1" applyBorder="1" applyAlignment="1">
      <alignment horizontal="center" vertical="center" textRotation="90" wrapText="1"/>
    </xf>
    <xf numFmtId="1" fontId="24" fillId="5" borderId="26" xfId="0" applyNumberFormat="1" applyFont="1" applyFill="1" applyBorder="1" applyAlignment="1">
      <alignment horizontal="center" vertical="center" textRotation="90"/>
    </xf>
    <xf numFmtId="0" fontId="24" fillId="5" borderId="26" xfId="0" applyFont="1" applyFill="1" applyBorder="1" applyAlignment="1">
      <alignment textRotation="90"/>
    </xf>
    <xf numFmtId="164" fontId="23" fillId="5" borderId="24" xfId="0" applyNumberFormat="1" applyFont="1" applyFill="1" applyBorder="1" applyAlignment="1">
      <alignment horizontal="center" vertical="center" textRotation="90"/>
    </xf>
    <xf numFmtId="0" fontId="0" fillId="5" borderId="8" xfId="0" applyFill="1" applyBorder="1"/>
    <xf numFmtId="164" fontId="12" fillId="5" borderId="26" xfId="0" applyNumberFormat="1" applyFont="1" applyFill="1" applyBorder="1" applyAlignment="1">
      <alignment vertical="center" textRotation="90"/>
    </xf>
    <xf numFmtId="0" fontId="12" fillId="5" borderId="26" xfId="0" applyFont="1" applyFill="1" applyBorder="1" applyAlignment="1">
      <alignment horizontal="center" textRotation="90" wrapText="1"/>
    </xf>
    <xf numFmtId="0" fontId="12" fillId="5" borderId="26" xfId="0" applyFont="1" applyFill="1" applyBorder="1" applyAlignment="1">
      <alignment vertical="center" textRotation="90"/>
    </xf>
    <xf numFmtId="0" fontId="12" fillId="5" borderId="26" xfId="0" applyFont="1" applyFill="1" applyBorder="1" applyAlignment="1">
      <alignment textRotation="90"/>
    </xf>
    <xf numFmtId="0" fontId="12" fillId="5" borderId="26" xfId="0" applyFont="1" applyFill="1" applyBorder="1" applyAlignment="1">
      <alignment horizontal="left" textRotation="90" wrapText="1"/>
    </xf>
    <xf numFmtId="0" fontId="12" fillId="5" borderId="47" xfId="0" applyFont="1" applyFill="1" applyBorder="1" applyAlignment="1">
      <alignment textRotation="90"/>
    </xf>
    <xf numFmtId="0" fontId="0" fillId="0" borderId="50" xfId="0" applyBorder="1"/>
    <xf numFmtId="0" fontId="28" fillId="0" borderId="38" xfId="0" applyFont="1" applyBorder="1"/>
    <xf numFmtId="0" fontId="0" fillId="0" borderId="42" xfId="0" applyBorder="1" applyAlignment="1">
      <alignment horizontal="center" vertical="center" textRotation="90"/>
    </xf>
    <xf numFmtId="1" fontId="0" fillId="3" borderId="17" xfId="0" applyNumberForma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1" fontId="0" fillId="0" borderId="48" xfId="0" applyNumberFormat="1" applyBorder="1" applyAlignment="1">
      <alignment horizontal="center" vertical="center"/>
    </xf>
    <xf numFmtId="1" fontId="0" fillId="0" borderId="52" xfId="0" applyNumberFormat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 wrapText="1"/>
    </xf>
    <xf numFmtId="1" fontId="12" fillId="0" borderId="27" xfId="0" applyNumberFormat="1" applyFont="1" applyBorder="1" applyAlignment="1">
      <alignment horizontal="center" vertical="center"/>
    </xf>
    <xf numFmtId="1" fontId="0" fillId="0" borderId="51" xfId="0" applyNumberFormat="1" applyBorder="1" applyAlignment="1">
      <alignment horizontal="center" vertical="center"/>
    </xf>
    <xf numFmtId="0" fontId="0" fillId="0" borderId="27" xfId="0" applyBorder="1"/>
    <xf numFmtId="0" fontId="12" fillId="5" borderId="26" xfId="0" applyFont="1" applyFill="1" applyBorder="1" applyAlignment="1">
      <alignment horizontal="center" textRotation="90"/>
    </xf>
    <xf numFmtId="0" fontId="0" fillId="5" borderId="34" xfId="0" applyFill="1" applyBorder="1"/>
    <xf numFmtId="1" fontId="23" fillId="5" borderId="26" xfId="0" applyNumberFormat="1" applyFont="1" applyFill="1" applyBorder="1" applyAlignment="1">
      <alignment horizontal="center" vertical="center" textRotation="90"/>
    </xf>
    <xf numFmtId="0" fontId="23" fillId="5" borderId="26" xfId="0" applyFont="1" applyFill="1" applyBorder="1" applyAlignment="1">
      <alignment horizontal="center" vertical="center" textRotation="90"/>
    </xf>
    <xf numFmtId="0" fontId="0" fillId="0" borderId="0" xfId="0" applyAlignment="1">
      <alignment horizontal="center"/>
    </xf>
    <xf numFmtId="0" fontId="12" fillId="4" borderId="49" xfId="0" applyFont="1" applyFill="1" applyBorder="1" applyAlignment="1">
      <alignment horizontal="center" vertical="center" textRotation="90"/>
    </xf>
    <xf numFmtId="0" fontId="12" fillId="4" borderId="48" xfId="0" applyFont="1" applyFill="1" applyBorder="1" applyAlignment="1">
      <alignment horizontal="center" vertical="center" textRotation="90"/>
    </xf>
    <xf numFmtId="164" fontId="12" fillId="4" borderId="30" xfId="0" applyNumberFormat="1" applyFont="1" applyFill="1" applyBorder="1" applyAlignment="1">
      <alignment horizontal="center" vertical="center" textRotation="90"/>
    </xf>
    <xf numFmtId="164" fontId="12" fillId="4" borderId="34" xfId="0" applyNumberFormat="1" applyFont="1" applyFill="1" applyBorder="1" applyAlignment="1">
      <alignment horizontal="center" vertical="center" textRotation="90"/>
    </xf>
    <xf numFmtId="0" fontId="12" fillId="4" borderId="21" xfId="0" applyFont="1" applyFill="1" applyBorder="1" applyAlignment="1">
      <alignment horizontal="center" vertical="center" textRotation="90"/>
    </xf>
    <xf numFmtId="0" fontId="0" fillId="4" borderId="21" xfId="0" applyFill="1" applyBorder="1" applyAlignment="1">
      <alignment horizontal="center" vertical="center" textRotation="90" wrapText="1"/>
    </xf>
    <xf numFmtId="164" fontId="12" fillId="4" borderId="21" xfId="0" applyNumberFormat="1" applyFont="1" applyFill="1" applyBorder="1" applyAlignment="1">
      <alignment horizontal="center" vertical="center" textRotation="90"/>
    </xf>
    <xf numFmtId="1" fontId="12" fillId="4" borderId="19" xfId="0" applyNumberFormat="1" applyFont="1" applyFill="1" applyBorder="1" applyAlignment="1">
      <alignment horizontal="center" vertical="center" textRotation="90"/>
    </xf>
    <xf numFmtId="0" fontId="12" fillId="4" borderId="19" xfId="0" applyFont="1" applyFill="1" applyBorder="1" applyAlignment="1">
      <alignment horizontal="center" vertical="center" textRotation="90"/>
    </xf>
    <xf numFmtId="164" fontId="12" fillId="4" borderId="28" xfId="0" applyNumberFormat="1" applyFont="1" applyFill="1" applyBorder="1" applyAlignment="1">
      <alignment horizontal="center" vertical="center" textRotation="90"/>
    </xf>
    <xf numFmtId="0" fontId="0" fillId="4" borderId="28" xfId="0" applyFill="1" applyBorder="1" applyAlignment="1">
      <alignment horizontal="center" vertical="center" textRotation="90" wrapText="1"/>
    </xf>
    <xf numFmtId="0" fontId="0" fillId="4" borderId="34" xfId="0" applyFill="1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wrapText="1"/>
    </xf>
    <xf numFmtId="2" fontId="0" fillId="0" borderId="26" xfId="0" applyNumberFormat="1" applyBorder="1" applyAlignment="1">
      <alignment horizontal="center" vertical="center"/>
    </xf>
    <xf numFmtId="0" fontId="18" fillId="0" borderId="21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4" fillId="0" borderId="21" xfId="0" applyFont="1" applyBorder="1" applyAlignment="1">
      <alignment horizontal="right"/>
    </xf>
    <xf numFmtId="0" fontId="14" fillId="0" borderId="22" xfId="0" applyFont="1" applyBorder="1" applyAlignment="1">
      <alignment horizontal="right"/>
    </xf>
    <xf numFmtId="0" fontId="15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26" fillId="4" borderId="0" xfId="0" applyFont="1" applyFill="1" applyAlignment="1">
      <alignment horizontal="left"/>
    </xf>
    <xf numFmtId="1" fontId="12" fillId="4" borderId="28" xfId="0" applyNumberFormat="1" applyFont="1" applyFill="1" applyBorder="1" applyAlignment="1">
      <alignment horizontal="center" vertical="center" textRotation="90"/>
    </xf>
    <xf numFmtId="1" fontId="12" fillId="4" borderId="30" xfId="0" applyNumberFormat="1" applyFont="1" applyFill="1" applyBorder="1" applyAlignment="1">
      <alignment horizontal="center" vertical="center" textRotation="90"/>
    </xf>
    <xf numFmtId="1" fontId="12" fillId="4" borderId="34" xfId="0" applyNumberFormat="1" applyFont="1" applyFill="1" applyBorder="1" applyAlignment="1">
      <alignment horizontal="center" vertical="center" textRotation="90"/>
    </xf>
    <xf numFmtId="0" fontId="13" fillId="5" borderId="34" xfId="0" applyFont="1" applyFill="1" applyBorder="1" applyAlignment="1">
      <alignment horizontal="center" textRotation="90" wrapText="1"/>
    </xf>
    <xf numFmtId="0" fontId="13" fillId="5" borderId="26" xfId="0" applyFont="1" applyFill="1" applyBorder="1" applyAlignment="1">
      <alignment horizontal="center" textRotation="90" wrapText="1"/>
    </xf>
    <xf numFmtId="0" fontId="22" fillId="5" borderId="34" xfId="0" applyFont="1" applyFill="1" applyBorder="1" applyAlignment="1">
      <alignment horizontal="center"/>
    </xf>
    <xf numFmtId="0" fontId="13" fillId="5" borderId="39" xfId="0" applyFont="1" applyFill="1" applyBorder="1" applyAlignment="1">
      <alignment horizontal="center" textRotation="90" wrapText="1"/>
    </xf>
    <xf numFmtId="0" fontId="13" fillId="5" borderId="23" xfId="0" applyFont="1" applyFill="1" applyBorder="1" applyAlignment="1">
      <alignment horizontal="center" textRotation="90" wrapText="1"/>
    </xf>
    <xf numFmtId="0" fontId="12" fillId="4" borderId="46" xfId="0" applyFont="1" applyFill="1" applyBorder="1" applyAlignment="1">
      <alignment horizontal="center" vertical="center" textRotation="90"/>
    </xf>
    <xf numFmtId="0" fontId="12" fillId="4" borderId="7" xfId="0" applyFont="1" applyFill="1" applyBorder="1" applyAlignment="1">
      <alignment horizontal="center" vertical="center" textRotation="90"/>
    </xf>
    <xf numFmtId="0" fontId="12" fillId="4" borderId="10" xfId="0" applyFont="1" applyFill="1" applyBorder="1" applyAlignment="1">
      <alignment horizontal="center" vertical="center" textRotation="90"/>
    </xf>
    <xf numFmtId="0" fontId="12" fillId="4" borderId="19" xfId="0" applyFont="1" applyFill="1" applyBorder="1" applyAlignment="1">
      <alignment horizontal="center" vertical="center" textRotation="90" wrapText="1"/>
    </xf>
    <xf numFmtId="0" fontId="12" fillId="4" borderId="21" xfId="0" applyFont="1" applyFill="1" applyBorder="1" applyAlignment="1">
      <alignment horizontal="center" vertical="center" textRotation="90" wrapText="1"/>
    </xf>
    <xf numFmtId="164" fontId="12" fillId="4" borderId="19" xfId="0" applyNumberFormat="1" applyFont="1" applyFill="1" applyBorder="1" applyAlignment="1">
      <alignment horizontal="center" vertical="center" textRotation="90"/>
    </xf>
    <xf numFmtId="0" fontId="12" fillId="5" borderId="34" xfId="0" applyFont="1" applyFill="1" applyBorder="1" applyAlignment="1">
      <alignment horizontal="center" textRotation="90" wrapText="1"/>
    </xf>
    <xf numFmtId="0" fontId="12" fillId="5" borderId="26" xfId="0" applyFont="1" applyFill="1" applyBorder="1" applyAlignment="1">
      <alignment horizontal="center" textRotation="90" wrapText="1"/>
    </xf>
    <xf numFmtId="0" fontId="12" fillId="5" borderId="39" xfId="0" applyFont="1" applyFill="1" applyBorder="1" applyAlignment="1">
      <alignment horizontal="center" textRotation="90" wrapText="1"/>
    </xf>
    <xf numFmtId="0" fontId="12" fillId="5" borderId="23" xfId="0" applyFont="1" applyFill="1" applyBorder="1" applyAlignment="1">
      <alignment horizontal="center" textRotation="90" wrapText="1"/>
    </xf>
    <xf numFmtId="0" fontId="12" fillId="5" borderId="38" xfId="0" applyFont="1" applyFill="1" applyBorder="1" applyAlignment="1">
      <alignment horizontal="center" textRotation="90"/>
    </xf>
    <xf numFmtId="0" fontId="12" fillId="5" borderId="24" xfId="0" applyFont="1" applyFill="1" applyBorder="1" applyAlignment="1">
      <alignment horizontal="center" textRotation="90"/>
    </xf>
    <xf numFmtId="0" fontId="17" fillId="4" borderId="19" xfId="0" applyFont="1" applyFill="1" applyBorder="1" applyAlignment="1">
      <alignment horizontal="center" vertical="center" textRotation="90"/>
    </xf>
    <xf numFmtId="0" fontId="21" fillId="5" borderId="34" xfId="0" applyFont="1" applyFill="1" applyBorder="1" applyAlignment="1">
      <alignment horizontal="center"/>
    </xf>
    <xf numFmtId="1" fontId="17" fillId="4" borderId="19" xfId="0" applyNumberFormat="1" applyFont="1" applyFill="1" applyBorder="1" applyAlignment="1">
      <alignment horizontal="center" vertical="center" textRotation="90"/>
    </xf>
    <xf numFmtId="2" fontId="17" fillId="4" borderId="21" xfId="0" applyNumberFormat="1" applyFont="1" applyFill="1" applyBorder="1" applyAlignment="1">
      <alignment horizontal="center" vertical="center" textRotation="90"/>
    </xf>
    <xf numFmtId="0" fontId="17" fillId="4" borderId="21" xfId="0" applyFont="1" applyFill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3:AH35"/>
  <sheetViews>
    <sheetView workbookViewId="0">
      <selection activeCell="L248" sqref="L248"/>
    </sheetView>
  </sheetViews>
  <sheetFormatPr defaultRowHeight="15"/>
  <cols>
    <col min="1" max="1" width="5.7109375" bestFit="1" customWidth="1"/>
    <col min="2" max="2" width="7.85546875" bestFit="1" customWidth="1"/>
    <col min="3" max="3" width="7" bestFit="1" customWidth="1"/>
    <col min="4" max="4" width="3.42578125" bestFit="1" customWidth="1"/>
    <col min="5" max="5" width="5.7109375" bestFit="1" customWidth="1"/>
    <col min="14" max="14" width="15.42578125" bestFit="1" customWidth="1"/>
    <col min="15" max="15" width="15.42578125" customWidth="1"/>
    <col min="32" max="32" width="13.140625" customWidth="1"/>
  </cols>
  <sheetData>
    <row r="13" spans="1:34">
      <c r="K13" s="294" t="s">
        <v>0</v>
      </c>
      <c r="L13" s="294"/>
      <c r="M13" s="294"/>
      <c r="R13" s="294" t="s">
        <v>1</v>
      </c>
      <c r="S13" s="294"/>
      <c r="T13" s="294" t="s">
        <v>2</v>
      </c>
      <c r="U13" s="294"/>
      <c r="V13" s="294" t="s">
        <v>3</v>
      </c>
      <c r="W13" s="294"/>
      <c r="X13" s="294"/>
      <c r="Y13" s="294" t="s">
        <v>4</v>
      </c>
      <c r="Z13" s="294"/>
      <c r="AA13" s="294" t="s">
        <v>5</v>
      </c>
      <c r="AB13" s="294"/>
      <c r="AC13" s="294"/>
      <c r="AD13" s="294"/>
      <c r="AE13" s="294"/>
      <c r="AG13" s="294" t="s">
        <v>6</v>
      </c>
      <c r="AH13" s="294"/>
    </row>
    <row r="14" spans="1:34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13</v>
      </c>
      <c r="H14" t="s">
        <v>14</v>
      </c>
      <c r="I14" t="s">
        <v>15</v>
      </c>
      <c r="J14" t="s">
        <v>16</v>
      </c>
      <c r="K14" t="s">
        <v>17</v>
      </c>
      <c r="L14" t="s">
        <v>18</v>
      </c>
      <c r="M14" t="s">
        <v>19</v>
      </c>
      <c r="N14" t="s">
        <v>20</v>
      </c>
      <c r="O14" t="s">
        <v>21</v>
      </c>
      <c r="P14" t="s">
        <v>22</v>
      </c>
      <c r="Q14" t="s">
        <v>23</v>
      </c>
      <c r="R14" t="s">
        <v>24</v>
      </c>
      <c r="S14" t="s">
        <v>25</v>
      </c>
      <c r="T14" t="s">
        <v>24</v>
      </c>
      <c r="U14" t="s">
        <v>25</v>
      </c>
      <c r="V14" t="s">
        <v>26</v>
      </c>
      <c r="W14" t="s">
        <v>27</v>
      </c>
      <c r="X14" t="s">
        <v>28</v>
      </c>
      <c r="Y14" t="s">
        <v>29</v>
      </c>
      <c r="Z14" t="s">
        <v>30</v>
      </c>
      <c r="AA14" t="s">
        <v>31</v>
      </c>
      <c r="AB14" t="s">
        <v>32</v>
      </c>
      <c r="AC14" t="s">
        <v>33</v>
      </c>
      <c r="AD14" t="s">
        <v>34</v>
      </c>
      <c r="AE14" t="s">
        <v>35</v>
      </c>
      <c r="AF14" t="s">
        <v>36</v>
      </c>
      <c r="AG14" t="s">
        <v>37</v>
      </c>
      <c r="AH14" t="s">
        <v>38</v>
      </c>
    </row>
    <row r="16" spans="1:34">
      <c r="B16">
        <v>1</v>
      </c>
      <c r="C16">
        <v>100000</v>
      </c>
      <c r="F16">
        <v>5800</v>
      </c>
    </row>
    <row r="17" spans="2:3">
      <c r="B17">
        <v>2</v>
      </c>
      <c r="C17">
        <v>10000</v>
      </c>
    </row>
    <row r="18" spans="2:3">
      <c r="B18">
        <v>3</v>
      </c>
      <c r="C18">
        <v>1000</v>
      </c>
    </row>
    <row r="19" spans="2:3">
      <c r="B19">
        <v>4</v>
      </c>
      <c r="C19">
        <v>5</v>
      </c>
    </row>
    <row r="20" spans="2:3">
      <c r="B20">
        <v>5</v>
      </c>
      <c r="C20">
        <v>20</v>
      </c>
    </row>
    <row r="21" spans="2:3">
      <c r="B21">
        <v>6</v>
      </c>
      <c r="C21">
        <v>10000</v>
      </c>
    </row>
    <row r="22" spans="2:3">
      <c r="B22">
        <v>7</v>
      </c>
      <c r="C22">
        <v>10000</v>
      </c>
    </row>
    <row r="23" spans="2:3">
      <c r="B23">
        <v>8</v>
      </c>
      <c r="C23">
        <v>100000</v>
      </c>
    </row>
    <row r="24" spans="2:3">
      <c r="B24">
        <v>9</v>
      </c>
      <c r="C24">
        <v>1000</v>
      </c>
    </row>
    <row r="25" spans="2:3">
      <c r="B25">
        <v>10</v>
      </c>
      <c r="C25">
        <v>5</v>
      </c>
    </row>
    <row r="26" spans="2:3">
      <c r="B26">
        <v>11</v>
      </c>
      <c r="C26">
        <v>5</v>
      </c>
    </row>
    <row r="27" spans="2:3">
      <c r="B27">
        <v>12</v>
      </c>
      <c r="C27">
        <v>20</v>
      </c>
    </row>
    <row r="28" spans="2:3">
      <c r="B28">
        <v>13</v>
      </c>
      <c r="C28">
        <v>1000</v>
      </c>
    </row>
    <row r="29" spans="2:3">
      <c r="B29">
        <v>14</v>
      </c>
      <c r="C29">
        <v>1000</v>
      </c>
    </row>
    <row r="30" spans="2:3">
      <c r="B30">
        <v>15</v>
      </c>
      <c r="C30">
        <v>100000</v>
      </c>
    </row>
    <row r="31" spans="2:3">
      <c r="B31">
        <v>16</v>
      </c>
      <c r="C31">
        <v>5</v>
      </c>
    </row>
    <row r="32" spans="2:3">
      <c r="B32">
        <v>17</v>
      </c>
      <c r="C32">
        <v>20</v>
      </c>
    </row>
    <row r="33" spans="2:3">
      <c r="B33">
        <v>18</v>
      </c>
      <c r="C33">
        <v>20</v>
      </c>
    </row>
    <row r="34" spans="2:3">
      <c r="B34">
        <v>19</v>
      </c>
      <c r="C34">
        <v>20</v>
      </c>
    </row>
    <row r="35" spans="2:3">
      <c r="B35">
        <v>20</v>
      </c>
    </row>
  </sheetData>
  <mergeCells count="7">
    <mergeCell ref="AA13:AE13"/>
    <mergeCell ref="AG13:AH13"/>
    <mergeCell ref="V13:X13"/>
    <mergeCell ref="K13:M13"/>
    <mergeCell ref="T13:U13"/>
    <mergeCell ref="R13:S13"/>
    <mergeCell ref="Y13:Z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A79C8-FC87-492C-BB13-0A5079CC4150}">
  <dimension ref="D11:E13"/>
  <sheetViews>
    <sheetView workbookViewId="0">
      <selection activeCell="D13" sqref="D13"/>
    </sheetView>
  </sheetViews>
  <sheetFormatPr defaultRowHeight="15"/>
  <sheetData>
    <row r="11" spans="4:5">
      <c r="D11" s="144" t="s">
        <v>39</v>
      </c>
      <c r="E11" s="144" t="s">
        <v>40</v>
      </c>
    </row>
    <row r="12" spans="4:5">
      <c r="D12" s="144">
        <v>41</v>
      </c>
      <c r="E12" s="144">
        <v>76</v>
      </c>
    </row>
    <row r="13" spans="4:5">
      <c r="D13" s="144">
        <f>(9/5)*D12+32</f>
        <v>105.8</v>
      </c>
      <c r="E13" s="144">
        <f>(E12-32)*100/180</f>
        <v>24.444444444444443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BK161"/>
  <sheetViews>
    <sheetView tabSelected="1" view="pageBreakPreview" topLeftCell="A15" zoomScale="115" zoomScaleNormal="115" zoomScaleSheetLayoutView="115" workbookViewId="0">
      <selection activeCell="J18" sqref="J18"/>
    </sheetView>
  </sheetViews>
  <sheetFormatPr defaultRowHeight="15"/>
  <cols>
    <col min="1" max="1" width="3.85546875" bestFit="1" customWidth="1"/>
    <col min="2" max="2" width="5.5703125" customWidth="1"/>
    <col min="3" max="3" width="27.7109375" customWidth="1"/>
    <col min="4" max="4" width="7.140625" bestFit="1" customWidth="1"/>
    <col min="5" max="5" width="4.7109375" bestFit="1" customWidth="1"/>
    <col min="6" max="6" width="7.140625" bestFit="1" customWidth="1"/>
    <col min="7" max="7" width="6.7109375" bestFit="1" customWidth="1"/>
    <col min="8" max="8" width="8.7109375" bestFit="1" customWidth="1"/>
    <col min="9" max="9" width="3.85546875" bestFit="1" customWidth="1"/>
    <col min="10" max="10" width="6.140625" bestFit="1" customWidth="1"/>
    <col min="11" max="11" width="4.7109375" bestFit="1" customWidth="1"/>
    <col min="12" max="12" width="5.140625" bestFit="1" customWidth="1"/>
    <col min="13" max="14" width="6.140625" bestFit="1" customWidth="1"/>
    <col min="15" max="15" width="6" customWidth="1"/>
    <col min="16" max="16" width="9.5703125" customWidth="1"/>
    <col min="17" max="18" width="6.7109375" bestFit="1" customWidth="1"/>
    <col min="19" max="26" width="4.140625" customWidth="1"/>
    <col min="27" max="28" width="6.7109375" bestFit="1" customWidth="1"/>
    <col min="29" max="32" width="8.42578125" hidden="1" customWidth="1"/>
    <col min="33" max="33" width="5.140625" hidden="1" customWidth="1"/>
    <col min="34" max="34" width="8.42578125" hidden="1" customWidth="1"/>
    <col min="35" max="35" width="5.140625" hidden="1" customWidth="1"/>
    <col min="36" max="38" width="8.42578125" hidden="1" customWidth="1"/>
    <col min="39" max="39" width="4.140625" hidden="1" customWidth="1"/>
    <col min="40" max="43" width="8.42578125" hidden="1" customWidth="1"/>
    <col min="44" max="44" width="8.140625" hidden="1" customWidth="1"/>
    <col min="45" max="46" width="8.42578125" hidden="1" customWidth="1"/>
    <col min="47" max="47" width="3.85546875" hidden="1" customWidth="1"/>
    <col min="48" max="53" width="8.42578125" hidden="1" customWidth="1"/>
    <col min="54" max="55" width="4.28515625" bestFit="1" customWidth="1"/>
    <col min="56" max="56" width="5.7109375" customWidth="1"/>
    <col min="57" max="57" width="4.7109375" bestFit="1" customWidth="1"/>
    <col min="58" max="58" width="3.85546875" bestFit="1" customWidth="1"/>
    <col min="59" max="60" width="4.28515625" bestFit="1" customWidth="1"/>
    <col min="61" max="61" width="4.7109375" bestFit="1" customWidth="1"/>
    <col min="62" max="62" width="5.7109375" customWidth="1"/>
  </cols>
  <sheetData>
    <row r="9" spans="1:63" ht="15.75" thickBot="1"/>
    <row r="10" spans="1:63" ht="15.75">
      <c r="A10" s="241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242"/>
      <c r="Q10" s="234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  <c r="AP10" s="235"/>
      <c r="AQ10" s="235"/>
      <c r="AR10" s="235"/>
      <c r="AS10" s="235"/>
      <c r="AT10" s="235"/>
      <c r="AU10" s="235"/>
      <c r="AV10" s="235"/>
      <c r="AW10" s="235"/>
      <c r="AX10" s="235"/>
      <c r="AY10" s="235"/>
      <c r="AZ10" s="235"/>
      <c r="BA10" s="235"/>
      <c r="BB10" s="235"/>
      <c r="BC10" s="158"/>
      <c r="BD10" s="158"/>
      <c r="BE10" s="158"/>
      <c r="BF10" s="158"/>
      <c r="BG10" s="158"/>
      <c r="BH10" s="158"/>
      <c r="BI10" s="158"/>
      <c r="BJ10" s="159"/>
    </row>
    <row r="11" spans="1:63" ht="33" customHeight="1">
      <c r="A11" s="243"/>
      <c r="B11" s="95"/>
      <c r="C11" s="309"/>
      <c r="D11" s="309"/>
      <c r="E11" s="309"/>
      <c r="F11" s="309"/>
      <c r="G11" s="309"/>
      <c r="H11" s="309"/>
      <c r="I11" s="309"/>
      <c r="J11" s="309"/>
      <c r="K11" s="309"/>
      <c r="L11" s="309"/>
      <c r="M11" s="309"/>
      <c r="N11" s="309"/>
      <c r="O11" s="309"/>
      <c r="P11" s="310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315"/>
      <c r="AS11" s="315"/>
      <c r="AT11" s="315"/>
      <c r="AU11" s="315"/>
      <c r="AV11" s="315"/>
      <c r="AW11" s="315"/>
      <c r="AX11" s="315"/>
      <c r="AY11" s="315"/>
      <c r="AZ11" s="315"/>
      <c r="BA11" s="315"/>
      <c r="BB11" s="315"/>
      <c r="BC11" s="160"/>
      <c r="BD11" s="160"/>
      <c r="BE11" s="160"/>
      <c r="BF11" s="160"/>
      <c r="BG11" s="160"/>
      <c r="BH11" s="160"/>
      <c r="BI11" s="160"/>
      <c r="BJ11" s="161"/>
    </row>
    <row r="12" spans="1:63" ht="20.25" customHeight="1">
      <c r="A12" s="243"/>
      <c r="B12" s="95"/>
      <c r="C12" s="311"/>
      <c r="D12" s="311"/>
      <c r="E12" s="311"/>
      <c r="F12" s="311"/>
      <c r="G12" s="311"/>
      <c r="H12" s="311"/>
      <c r="I12" s="311"/>
      <c r="J12" s="311"/>
      <c r="K12" s="311"/>
      <c r="L12" s="311"/>
      <c r="M12" s="311"/>
      <c r="N12" s="311"/>
      <c r="O12" s="311"/>
      <c r="P12" s="312"/>
      <c r="Q12" s="216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  <c r="AG12" s="217"/>
      <c r="AH12" s="217"/>
      <c r="AI12" s="217"/>
      <c r="AJ12" s="217"/>
      <c r="AK12" s="217"/>
      <c r="AL12" s="217"/>
      <c r="AM12" s="217"/>
      <c r="AN12" s="217"/>
      <c r="AO12" s="217"/>
      <c r="AP12" s="217"/>
      <c r="AQ12" s="217"/>
      <c r="AR12" s="217"/>
      <c r="AS12" s="217"/>
      <c r="AT12" s="217"/>
      <c r="AU12" s="217"/>
      <c r="AV12" s="217"/>
      <c r="AW12" s="217"/>
      <c r="AX12" s="217"/>
      <c r="AY12" s="217"/>
      <c r="AZ12" s="217"/>
      <c r="BA12" s="217"/>
      <c r="BB12" s="217"/>
      <c r="BC12" s="160"/>
      <c r="BD12" s="160"/>
      <c r="BE12" s="160"/>
      <c r="BF12" s="160"/>
      <c r="BG12" s="160"/>
      <c r="BH12" s="160"/>
      <c r="BI12" s="160"/>
      <c r="BJ12" s="161"/>
    </row>
    <row r="13" spans="1:63" ht="16.5" thickBot="1">
      <c r="A13" s="125"/>
      <c r="B13" s="100"/>
      <c r="C13" s="313"/>
      <c r="D13" s="313"/>
      <c r="E13" s="313"/>
      <c r="F13" s="313"/>
      <c r="G13" s="313"/>
      <c r="H13" s="313"/>
      <c r="I13" s="313"/>
      <c r="J13" s="313"/>
      <c r="K13" s="313"/>
      <c r="L13" s="313"/>
      <c r="M13" s="313"/>
      <c r="N13" s="313"/>
      <c r="O13" s="313"/>
      <c r="P13" s="314"/>
      <c r="Q13" s="236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8"/>
      <c r="BD13" s="238"/>
      <c r="BE13" s="238"/>
      <c r="BF13" s="238"/>
      <c r="BG13" s="238"/>
      <c r="BH13" s="238"/>
      <c r="BI13" s="238"/>
      <c r="BJ13" s="239"/>
    </row>
    <row r="14" spans="1:63" ht="15.75">
      <c r="A14" s="322" t="s">
        <v>41</v>
      </c>
      <c r="B14" s="319" t="s">
        <v>8</v>
      </c>
      <c r="C14" s="319" t="s">
        <v>42</v>
      </c>
      <c r="D14" s="319" t="s">
        <v>43</v>
      </c>
      <c r="E14" s="319" t="s">
        <v>44</v>
      </c>
      <c r="F14" s="319" t="s">
        <v>45</v>
      </c>
      <c r="G14" s="319" t="s">
        <v>46</v>
      </c>
      <c r="H14" s="319" t="s">
        <v>47</v>
      </c>
      <c r="I14" s="319" t="s">
        <v>48</v>
      </c>
      <c r="J14" s="319" t="s">
        <v>49</v>
      </c>
      <c r="K14" s="319" t="s">
        <v>50</v>
      </c>
      <c r="L14" s="319" t="s">
        <v>51</v>
      </c>
      <c r="M14" s="319" t="s">
        <v>52</v>
      </c>
      <c r="N14" s="319" t="s">
        <v>53</v>
      </c>
      <c r="O14" s="319" t="s">
        <v>54</v>
      </c>
      <c r="P14" s="319" t="s">
        <v>55</v>
      </c>
      <c r="Q14" s="319" t="s">
        <v>56</v>
      </c>
      <c r="R14" s="319" t="s">
        <v>57</v>
      </c>
      <c r="S14" s="319" t="s">
        <v>58</v>
      </c>
      <c r="T14" s="319" t="s">
        <v>59</v>
      </c>
      <c r="U14" s="319" t="s">
        <v>60</v>
      </c>
      <c r="V14" s="319" t="s">
        <v>61</v>
      </c>
      <c r="W14" s="319" t="s">
        <v>62</v>
      </c>
      <c r="X14" s="319" t="s">
        <v>63</v>
      </c>
      <c r="Y14" s="319" t="s">
        <v>64</v>
      </c>
      <c r="Z14" s="319" t="s">
        <v>65</v>
      </c>
      <c r="AA14" s="319" t="s">
        <v>66</v>
      </c>
      <c r="AB14" s="319" t="s">
        <v>67</v>
      </c>
      <c r="AC14" s="240"/>
      <c r="AD14" s="240"/>
      <c r="AE14" s="240"/>
      <c r="AF14" s="240"/>
      <c r="AG14" s="240"/>
      <c r="AH14" s="240"/>
      <c r="AI14" s="240"/>
      <c r="AJ14" s="240"/>
      <c r="AK14" s="240"/>
      <c r="AL14" s="240"/>
      <c r="AM14" s="240"/>
      <c r="AN14" s="240"/>
      <c r="AO14" s="240"/>
      <c r="AP14" s="240"/>
      <c r="AQ14" s="240"/>
      <c r="AR14" s="240"/>
      <c r="AS14" s="240"/>
      <c r="AT14" s="240"/>
      <c r="AU14" s="240"/>
      <c r="AV14" s="240"/>
      <c r="AW14" s="240"/>
      <c r="AX14" s="240"/>
      <c r="AY14" s="240"/>
      <c r="AZ14" s="240"/>
      <c r="BA14" s="240"/>
      <c r="BB14" s="321" t="s">
        <v>68</v>
      </c>
      <c r="BC14" s="321"/>
      <c r="BD14" s="321"/>
      <c r="BE14" s="321"/>
      <c r="BF14" s="321" t="s">
        <v>69</v>
      </c>
      <c r="BG14" s="321"/>
      <c r="BH14" s="321"/>
      <c r="BI14" s="321"/>
      <c r="BJ14" s="334" t="s">
        <v>70</v>
      </c>
    </row>
    <row r="15" spans="1:63" s="102" customFormat="1" ht="87.75" customHeight="1" thickBot="1">
      <c r="A15" s="323"/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244" t="s">
        <v>71</v>
      </c>
      <c r="AD15" s="244" t="s">
        <v>72</v>
      </c>
      <c r="AE15" s="244" t="s">
        <v>73</v>
      </c>
      <c r="AF15" s="244" t="s">
        <v>74</v>
      </c>
      <c r="AG15" s="244" t="s">
        <v>75</v>
      </c>
      <c r="AH15" s="244" t="s">
        <v>76</v>
      </c>
      <c r="AI15" s="244" t="s">
        <v>77</v>
      </c>
      <c r="AJ15" s="244" t="s">
        <v>78</v>
      </c>
      <c r="AK15" s="244" t="s">
        <v>79</v>
      </c>
      <c r="AL15" s="244" t="s">
        <v>80</v>
      </c>
      <c r="AM15" s="244" t="s">
        <v>77</v>
      </c>
      <c r="AN15" s="244" t="s">
        <v>78</v>
      </c>
      <c r="AO15" s="244" t="s">
        <v>81</v>
      </c>
      <c r="AP15" s="244" t="s">
        <v>82</v>
      </c>
      <c r="AQ15" s="244" t="s">
        <v>83</v>
      </c>
      <c r="AR15" s="244" t="s">
        <v>84</v>
      </c>
      <c r="AS15" s="244" t="s">
        <v>85</v>
      </c>
      <c r="AT15" s="244" t="s">
        <v>86</v>
      </c>
      <c r="AU15" s="244" t="s">
        <v>87</v>
      </c>
      <c r="AV15" s="244" t="s">
        <v>88</v>
      </c>
      <c r="AW15" s="244" t="s">
        <v>89</v>
      </c>
      <c r="AX15" s="244" t="s">
        <v>90</v>
      </c>
      <c r="AY15" s="244" t="s">
        <v>91</v>
      </c>
      <c r="AZ15" s="244" t="s">
        <v>92</v>
      </c>
      <c r="BA15" s="244" t="s">
        <v>93</v>
      </c>
      <c r="BB15" s="244" t="s">
        <v>94</v>
      </c>
      <c r="BC15" s="245" t="s">
        <v>95</v>
      </c>
      <c r="BD15" s="245" t="s">
        <v>96</v>
      </c>
      <c r="BE15" s="245" t="s">
        <v>97</v>
      </c>
      <c r="BF15" s="246" t="s">
        <v>94</v>
      </c>
      <c r="BG15" s="245" t="s">
        <v>95</v>
      </c>
      <c r="BH15" s="245" t="s">
        <v>96</v>
      </c>
      <c r="BI15" s="245" t="s">
        <v>13</v>
      </c>
      <c r="BJ15" s="335"/>
      <c r="BK15" s="112"/>
    </row>
    <row r="16" spans="1:63" s="103" customFormat="1" ht="15.75" thickBot="1">
      <c r="A16" s="247"/>
      <c r="B16" s="156"/>
      <c r="C16" s="156"/>
      <c r="D16" s="248"/>
      <c r="E16" s="248"/>
      <c r="F16" s="248"/>
      <c r="G16" s="248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  <c r="Z16" s="248"/>
      <c r="AA16" s="249">
        <f>5*(AA18-32)/9</f>
        <v>41.111111111111114</v>
      </c>
      <c r="AB16" s="249">
        <f>5*(AB18-32)/9</f>
        <v>24.444444444444443</v>
      </c>
      <c r="AC16" s="248"/>
      <c r="AD16" s="248"/>
      <c r="AE16" s="248"/>
      <c r="AF16" s="248"/>
      <c r="AG16" s="248"/>
      <c r="AH16" s="248"/>
      <c r="AI16" s="248"/>
      <c r="AJ16" s="248"/>
      <c r="AK16" s="248"/>
      <c r="AL16" s="248"/>
      <c r="AM16" s="248"/>
      <c r="AN16" s="248"/>
      <c r="AO16" s="248"/>
      <c r="AP16" s="248"/>
      <c r="AQ16" s="248"/>
      <c r="AR16" s="248"/>
      <c r="AS16" s="248"/>
      <c r="AT16" s="248"/>
      <c r="AU16" s="248"/>
      <c r="AV16" s="248"/>
      <c r="AW16" s="248"/>
      <c r="AX16" s="248"/>
      <c r="AY16" s="248"/>
      <c r="AZ16" s="248"/>
      <c r="BA16" s="248"/>
      <c r="BB16" s="156"/>
      <c r="BC16" s="250"/>
      <c r="BD16" s="251"/>
      <c r="BE16" s="251"/>
      <c r="BF16" s="251"/>
      <c r="BG16" s="251"/>
      <c r="BH16" s="251"/>
      <c r="BI16" s="251"/>
      <c r="BJ16" s="252"/>
      <c r="BK16" s="113"/>
    </row>
    <row r="17" spans="1:63" s="193" customFormat="1" ht="24" thickBot="1">
      <c r="A17" s="183"/>
      <c r="B17" s="184">
        <v>1</v>
      </c>
      <c r="C17" s="185" t="s">
        <v>98</v>
      </c>
      <c r="D17" s="186"/>
      <c r="E17" s="187"/>
      <c r="F17" s="186"/>
      <c r="G17" s="188"/>
      <c r="H17" s="188"/>
      <c r="I17" s="186"/>
      <c r="J17" s="189"/>
      <c r="K17" s="186"/>
      <c r="L17" s="186"/>
      <c r="M17" s="189"/>
      <c r="N17" s="189"/>
      <c r="O17" s="190"/>
      <c r="P17" s="189"/>
      <c r="Q17" s="187"/>
      <c r="R17" s="187"/>
      <c r="S17" s="187"/>
      <c r="T17" s="187"/>
      <c r="U17" s="187"/>
      <c r="V17" s="187"/>
      <c r="W17" s="187"/>
      <c r="X17" s="187"/>
      <c r="Y17" s="186"/>
      <c r="Z17" s="186"/>
      <c r="AA17" s="186"/>
      <c r="AB17" s="186"/>
      <c r="AC17" s="189"/>
      <c r="AD17" s="189"/>
      <c r="AE17" s="189"/>
      <c r="AF17" s="189"/>
      <c r="AG17" s="189"/>
      <c r="AH17" s="189"/>
      <c r="AI17" s="189"/>
      <c r="AJ17" s="189"/>
      <c r="AK17" s="189"/>
      <c r="AL17" s="189"/>
      <c r="AM17" s="189"/>
      <c r="AN17" s="189"/>
      <c r="AO17" s="189"/>
      <c r="AP17" s="189"/>
      <c r="AQ17" s="189"/>
      <c r="AR17" s="189"/>
      <c r="AS17" s="189"/>
      <c r="AT17" s="189"/>
      <c r="AU17" s="189"/>
      <c r="AV17" s="189"/>
      <c r="AW17" s="281"/>
      <c r="AX17" s="281"/>
      <c r="AY17" s="281"/>
      <c r="AZ17" s="281"/>
      <c r="BA17" s="281"/>
      <c r="BB17" s="191"/>
      <c r="BC17" s="192"/>
      <c r="BJ17" s="253"/>
      <c r="BK17" s="192"/>
    </row>
    <row r="18" spans="1:63" s="89" customFormat="1">
      <c r="A18" s="90">
        <v>1</v>
      </c>
      <c r="B18" s="300" t="s">
        <v>99</v>
      </c>
      <c r="C18" s="106" t="s">
        <v>100</v>
      </c>
      <c r="D18" s="91">
        <v>3</v>
      </c>
      <c r="E18" s="94">
        <v>2.4</v>
      </c>
      <c r="F18" s="91">
        <v>9.1859999999999999</v>
      </c>
      <c r="G18" s="104">
        <f>D18*E18</f>
        <v>7.1999999999999993</v>
      </c>
      <c r="H18" s="104">
        <f>D18*E18*F18*10.76</f>
        <v>711.65779199999986</v>
      </c>
      <c r="I18" s="91">
        <v>40</v>
      </c>
      <c r="J18" s="92">
        <f>H18*I18/60</f>
        <v>474.43852799999991</v>
      </c>
      <c r="K18" s="91">
        <v>0</v>
      </c>
      <c r="L18" s="91">
        <v>0</v>
      </c>
      <c r="M18" s="92">
        <f>J18*0.1</f>
        <v>47.443852799999995</v>
      </c>
      <c r="N18" s="92">
        <f>J18*0</f>
        <v>0</v>
      </c>
      <c r="O18" s="93">
        <f>AV18</f>
        <v>5.1987930423391804</v>
      </c>
      <c r="P18" s="92">
        <f>MAX(J18,O18)*1.1</f>
        <v>521.88238079999996</v>
      </c>
      <c r="Q18" s="94">
        <f>AT18</f>
        <v>0.36200295989759995</v>
      </c>
      <c r="R18" s="94">
        <f>P18/400</f>
        <v>1.3047059519999999</v>
      </c>
      <c r="S18" s="301">
        <f>CEILING(MAX(SUM(Q18:Q25),SUM(R18:R25)),0.5)</f>
        <v>115</v>
      </c>
      <c r="T18" s="304">
        <f>S18*2.4</f>
        <v>276</v>
      </c>
      <c r="U18" s="304">
        <f>T18*0.0630902</f>
        <v>17.412895200000001</v>
      </c>
      <c r="V18" s="304">
        <f>0.26*SQRT(T18)</f>
        <v>4.3194444087173993</v>
      </c>
      <c r="W18" s="304">
        <f>CEILING(V18,0.5)</f>
        <v>4.5</v>
      </c>
      <c r="X18" s="316" t="s">
        <v>101</v>
      </c>
      <c r="Y18" s="91">
        <v>24</v>
      </c>
      <c r="Z18" s="91">
        <v>55</v>
      </c>
      <c r="AA18" s="91">
        <v>106</v>
      </c>
      <c r="AB18" s="91">
        <v>76</v>
      </c>
      <c r="AC18" s="92">
        <f t="shared" ref="AC18:AC25" si="0">(D18+E18)*2*10.76*F18*0.4*(AA18-AB18)</f>
        <v>12809.840256000001</v>
      </c>
      <c r="AD18" s="92">
        <f t="shared" ref="AD18:AD25" si="1">(D18+E18)*2*10.76*F18*0.28*(AA18-AB18)</f>
        <v>8966.8881791999993</v>
      </c>
      <c r="AE18" s="92">
        <f t="shared" ref="AE18:AE25" si="2">D18*E18*0.4*10.76*(AA18-AB18)</f>
        <v>929.66399999999999</v>
      </c>
      <c r="AF18" s="92">
        <f t="shared" ref="AF18:AF25" si="3">D18*E18*0.4*10.76*(AA18-AB18)</f>
        <v>929.66399999999999</v>
      </c>
      <c r="AG18" s="92">
        <f t="shared" ref="AG18:AG25" si="4">D18*E18*1.75*10.76</f>
        <v>135.57599999999996</v>
      </c>
      <c r="AH18" s="92">
        <f t="shared" ref="AH18:AH25" si="5">L18*(3.5/2)*1.08*0.88*(AA18-AB18)*1000</f>
        <v>0</v>
      </c>
      <c r="AI18" s="92">
        <f t="shared" ref="AI18:AI25" si="6">K18*285</f>
        <v>0</v>
      </c>
      <c r="AJ18" s="92">
        <f t="shared" ref="AJ18:AJ25" si="7">(M18+N18)*0.12*1.08*(AA18-AB18)</f>
        <v>184.46169968639998</v>
      </c>
      <c r="AK18" s="92">
        <f>(AC18+AD18+AE18+AF18)*0+AG18+AH18+AI18+AJ18</f>
        <v>320.03769968639995</v>
      </c>
      <c r="AL18" s="92">
        <f>AK18*1</f>
        <v>320.03769968639995</v>
      </c>
      <c r="AM18" s="92">
        <f t="shared" ref="AM18:AM25" si="8">K18*215</f>
        <v>0</v>
      </c>
      <c r="AN18" s="92">
        <f t="shared" ref="AN18:AN25" si="9">(M18+N18)*0.68*0.12*(AA18-AB18)</f>
        <v>116.14255165439999</v>
      </c>
      <c r="AO18" s="92">
        <f>(AM18+AN18)*1</f>
        <v>116.14255165439999</v>
      </c>
      <c r="AP18" s="92">
        <f>AO18+AL18</f>
        <v>436.18025134079994</v>
      </c>
      <c r="AQ18" s="92">
        <f t="shared" ref="AQ18:AQ25" si="10">(M18+N18)*0.88*1.08*(AA18-AB18)</f>
        <v>1352.7191310336</v>
      </c>
      <c r="AR18" s="92">
        <f t="shared" ref="AR18:AR25" si="11">(M18+N18)*0.88*0.68*90</f>
        <v>2555.1361363967999</v>
      </c>
      <c r="AS18" s="92">
        <f>AL18+AO18+AQ18+AR18</f>
        <v>4344.0355187711993</v>
      </c>
      <c r="AT18" s="92">
        <f>AS18/12000</f>
        <v>0.36200295989759995</v>
      </c>
      <c r="AU18" s="92">
        <v>49</v>
      </c>
      <c r="AV18" s="92">
        <f>AL18/(1.08*(AA18-AU18))</f>
        <v>5.1987930423391804</v>
      </c>
      <c r="AW18" s="282">
        <v>100000</v>
      </c>
      <c r="AX18" s="282">
        <f>CEILING(IF(AW18=20,P18*1/350,(IF(AWB18=5,P18*1/300,0))),2)</f>
        <v>0</v>
      </c>
      <c r="AY18" s="282">
        <f>CEILING(IF(AW18=100000,P18*1/250,0),2)</f>
        <v>4</v>
      </c>
      <c r="AZ18" s="282">
        <f>CEILING(IF(AW18=10000,P18*1/225,(IF(AWB18=10000,P18*1/225,0))),2)</f>
        <v>0</v>
      </c>
      <c r="BA18" s="282">
        <f>CEILING(IF(AW18=1000,P18*1/100,(IF(AWB18=100,P18*1/100,0))),2)</f>
        <v>0</v>
      </c>
      <c r="BB18" s="303">
        <f>CEILING(SUM(P18:P25),50)</f>
        <v>23550</v>
      </c>
      <c r="BC18" s="303">
        <v>150</v>
      </c>
      <c r="BD18" s="303"/>
      <c r="BE18" s="303">
        <v>40</v>
      </c>
      <c r="BF18" s="303">
        <f>CEILING(N26*1.1, 25)</f>
        <v>575</v>
      </c>
      <c r="BG18" s="303">
        <v>75</v>
      </c>
      <c r="BH18" s="303"/>
      <c r="BI18" s="303">
        <v>1</v>
      </c>
      <c r="BJ18" s="336">
        <f>BE18*(750/1000)+S18*0.8+BI18*(750/1000)</f>
        <v>122.75</v>
      </c>
      <c r="BK18" s="114">
        <f>U18*3.6</f>
        <v>62.686422720000003</v>
      </c>
    </row>
    <row r="19" spans="1:63" s="95" customFormat="1">
      <c r="A19" s="90">
        <v>2</v>
      </c>
      <c r="B19" s="300"/>
      <c r="C19" s="106" t="s">
        <v>102</v>
      </c>
      <c r="D19" s="91">
        <v>9.5299999999999994</v>
      </c>
      <c r="E19" s="94">
        <v>7.8</v>
      </c>
      <c r="F19" s="91">
        <v>13.12</v>
      </c>
      <c r="G19" s="104">
        <f t="shared" ref="G19:G25" si="12">D19*E19</f>
        <v>74.333999999999989</v>
      </c>
      <c r="H19" s="104">
        <f t="shared" ref="H19:H25" si="13">D19*E19*F19*10.76</f>
        <v>10493.819980799997</v>
      </c>
      <c r="I19" s="91">
        <v>30</v>
      </c>
      <c r="J19" s="92">
        <f t="shared" ref="J19:J25" si="14">H19*I19/60</f>
        <v>5246.9099903999986</v>
      </c>
      <c r="K19" s="91">
        <v>2</v>
      </c>
      <c r="L19" s="91">
        <v>12</v>
      </c>
      <c r="M19" s="92">
        <f t="shared" ref="M19:M25" si="15">J19*0.1</f>
        <v>524.69099903999984</v>
      </c>
      <c r="N19" s="92">
        <f t="shared" ref="N19:N21" si="16">J19*0</f>
        <v>0</v>
      </c>
      <c r="O19" s="93">
        <f t="shared" ref="O19:O25" si="17">AV19</f>
        <v>9791.4507443838138</v>
      </c>
      <c r="P19" s="92">
        <f t="shared" ref="P19:P25" si="18">MAX(J19,O19)*1.1</f>
        <v>10770.595818822196</v>
      </c>
      <c r="Q19" s="94">
        <f t="shared" ref="Q19:Q25" si="19">AT19</f>
        <v>53.974491633237008</v>
      </c>
      <c r="R19" s="94">
        <f t="shared" ref="R19:R25" si="20">P19/400</f>
        <v>26.926489547055489</v>
      </c>
      <c r="S19" s="301"/>
      <c r="T19" s="297"/>
      <c r="U19" s="297"/>
      <c r="V19" s="297"/>
      <c r="W19" s="297"/>
      <c r="X19" s="317"/>
      <c r="Y19" s="91">
        <v>24</v>
      </c>
      <c r="Z19" s="91">
        <v>55</v>
      </c>
      <c r="AA19" s="91">
        <v>106</v>
      </c>
      <c r="AB19" s="91">
        <f t="shared" ref="AB19:AB25" si="21">CEILING((9*Y19/5)+32,1)</f>
        <v>76</v>
      </c>
      <c r="AC19" s="92">
        <f t="shared" si="0"/>
        <v>58715.925503999999</v>
      </c>
      <c r="AD19" s="92">
        <f t="shared" si="1"/>
        <v>41101.147852799993</v>
      </c>
      <c r="AE19" s="92">
        <f t="shared" si="2"/>
        <v>9598.0060799999992</v>
      </c>
      <c r="AF19" s="92">
        <f t="shared" si="3"/>
        <v>9598.0060799999992</v>
      </c>
      <c r="AG19" s="92">
        <f t="shared" si="4"/>
        <v>1399.70922</v>
      </c>
      <c r="AH19" s="92">
        <f t="shared" si="5"/>
        <v>598752.00000000012</v>
      </c>
      <c r="AI19" s="92">
        <f t="shared" si="6"/>
        <v>570</v>
      </c>
      <c r="AJ19" s="92">
        <f t="shared" si="7"/>
        <v>2039.9986042675193</v>
      </c>
      <c r="AK19" s="92">
        <f t="shared" ref="AK19:AK25" si="22">(AC19+AD19+AE19+AF19)*0+AG19+AH19+AI19+AJ19</f>
        <v>602761.70782426756</v>
      </c>
      <c r="AL19" s="92">
        <f t="shared" ref="AL19:AL25" si="23">AK19*1</f>
        <v>602761.70782426756</v>
      </c>
      <c r="AM19" s="92">
        <f t="shared" si="8"/>
        <v>430</v>
      </c>
      <c r="AN19" s="92">
        <f t="shared" si="9"/>
        <v>1284.4435656499197</v>
      </c>
      <c r="AO19" s="92">
        <f t="shared" ref="AO19:AO25" si="24">(AM19+AN19)*1</f>
        <v>1714.4435656499197</v>
      </c>
      <c r="AP19" s="92">
        <f t="shared" ref="AP19:AP25" si="25">AO19+AL19</f>
        <v>604476.15138991748</v>
      </c>
      <c r="AQ19" s="92">
        <f t="shared" si="10"/>
        <v>14959.989764628477</v>
      </c>
      <c r="AR19" s="92">
        <f t="shared" si="11"/>
        <v>28257.758444298233</v>
      </c>
      <c r="AS19" s="92">
        <f t="shared" ref="AS19:AS25" si="26">AL19+AO19+AQ19+AR19</f>
        <v>647693.89959884412</v>
      </c>
      <c r="AT19" s="92">
        <f t="shared" ref="AT19:AT25" si="27">AS19/12000</f>
        <v>53.974491633237008</v>
      </c>
      <c r="AU19" s="92">
        <v>49</v>
      </c>
      <c r="AV19" s="92">
        <f t="shared" ref="AV19:AV25" si="28">AL19/(1.08*(AA19-AU19))</f>
        <v>9791.4507443838138</v>
      </c>
      <c r="AW19" s="282">
        <v>100000</v>
      </c>
      <c r="AX19" s="282">
        <f t="shared" ref="AX19:AX25" si="29">CEILING(IF(AW19=20,P19*1/350,(IF(AWB19=5,P19*1/300,0))),2)</f>
        <v>0</v>
      </c>
      <c r="AY19" s="282">
        <f t="shared" ref="AY19:AY25" si="30">CEILING(IF(AW19=100000,P19*1/250,0),2)</f>
        <v>44</v>
      </c>
      <c r="AZ19" s="282">
        <f t="shared" ref="AZ19:AZ25" si="31">CEILING(IF(AW19=10000,P19*1/225,(IF(AWB19=10000,P19*1/225,0))),2)</f>
        <v>0</v>
      </c>
      <c r="BA19" s="282">
        <f t="shared" ref="BA19:BA25" si="32">CEILING(IF(AW19=1000,P19*1/100,(IF(AWB19=100,P19*1/100,0))),2)</f>
        <v>0</v>
      </c>
      <c r="BB19" s="303"/>
      <c r="BC19" s="303"/>
      <c r="BD19" s="303"/>
      <c r="BE19" s="303"/>
      <c r="BF19" s="303"/>
      <c r="BG19" s="303"/>
      <c r="BH19" s="303"/>
      <c r="BI19" s="303"/>
      <c r="BJ19" s="336"/>
      <c r="BK19" s="115"/>
    </row>
    <row r="20" spans="1:63" s="95" customFormat="1">
      <c r="A20" s="90">
        <v>2</v>
      </c>
      <c r="B20" s="300"/>
      <c r="C20" s="106" t="s">
        <v>102</v>
      </c>
      <c r="D20" s="91">
        <v>2.4</v>
      </c>
      <c r="E20" s="94">
        <v>1.9</v>
      </c>
      <c r="F20" s="91">
        <v>13.12</v>
      </c>
      <c r="G20" s="104">
        <f t="shared" ref="G20" si="33">D20*E20</f>
        <v>4.5599999999999996</v>
      </c>
      <c r="H20" s="104">
        <f t="shared" si="13"/>
        <v>643.7406719999999</v>
      </c>
      <c r="I20" s="91">
        <v>30</v>
      </c>
      <c r="J20" s="92">
        <f t="shared" si="14"/>
        <v>321.87033599999995</v>
      </c>
      <c r="K20" s="91">
        <v>1</v>
      </c>
      <c r="L20" s="91">
        <v>3</v>
      </c>
      <c r="M20" s="92">
        <f t="shared" ref="M20" si="34">J20*0.1</f>
        <v>32.187033599999999</v>
      </c>
      <c r="N20" s="92">
        <f t="shared" ref="N20" si="35">J20*0</f>
        <v>0</v>
      </c>
      <c r="O20" s="93">
        <f t="shared" ref="O20" si="36">AV20</f>
        <v>2439.6362570928659</v>
      </c>
      <c r="P20" s="92">
        <f t="shared" ref="P20" si="37">MAX(J20,O20)*1.1</f>
        <v>2683.5998828021525</v>
      </c>
      <c r="Q20" s="94">
        <f t="shared" ref="Q20" si="38">AT20</f>
        <v>12.760748619037869</v>
      </c>
      <c r="R20" s="94">
        <f t="shared" ref="R20" si="39">P20/400</f>
        <v>6.7089997070053808</v>
      </c>
      <c r="S20" s="301"/>
      <c r="T20" s="297"/>
      <c r="U20" s="297"/>
      <c r="V20" s="297"/>
      <c r="W20" s="297"/>
      <c r="X20" s="317"/>
      <c r="Y20" s="91">
        <v>24</v>
      </c>
      <c r="Z20" s="91">
        <v>55</v>
      </c>
      <c r="AA20" s="91">
        <v>106</v>
      </c>
      <c r="AB20" s="91">
        <f t="shared" ref="AB20" si="40">CEILING((9*Y20/5)+32,1)</f>
        <v>76</v>
      </c>
      <c r="AC20" s="92">
        <f t="shared" si="0"/>
        <v>14568.867840000001</v>
      </c>
      <c r="AD20" s="92">
        <f t="shared" si="1"/>
        <v>10198.207488</v>
      </c>
      <c r="AE20" s="92">
        <f t="shared" si="2"/>
        <v>588.78719999999998</v>
      </c>
      <c r="AF20" s="92">
        <f t="shared" si="3"/>
        <v>588.78719999999998</v>
      </c>
      <c r="AG20" s="92">
        <f t="shared" si="4"/>
        <v>85.864799999999988</v>
      </c>
      <c r="AH20" s="92">
        <f t="shared" si="5"/>
        <v>149688.00000000003</v>
      </c>
      <c r="AI20" s="92">
        <f t="shared" si="6"/>
        <v>285</v>
      </c>
      <c r="AJ20" s="92">
        <f t="shared" si="7"/>
        <v>125.1431866368</v>
      </c>
      <c r="AK20" s="92">
        <f t="shared" ref="AK20" si="41">(AC20+AD20+AE20+AF20)*0+AG20+AH20+AI20+AJ20</f>
        <v>150184.00798663683</v>
      </c>
      <c r="AL20" s="92">
        <f t="shared" ref="AL20" si="42">AK20*1</f>
        <v>150184.00798663683</v>
      </c>
      <c r="AM20" s="92">
        <f t="shared" si="8"/>
        <v>215</v>
      </c>
      <c r="AN20" s="92">
        <f t="shared" si="9"/>
        <v>78.793858252800007</v>
      </c>
      <c r="AO20" s="92">
        <f t="shared" ref="AO20" si="43">(AM20+AN20)*1</f>
        <v>293.79385825280002</v>
      </c>
      <c r="AP20" s="92">
        <f t="shared" ref="AP20" si="44">AO20+AL20</f>
        <v>150477.80184488962</v>
      </c>
      <c r="AQ20" s="92">
        <f t="shared" si="10"/>
        <v>917.71670200320011</v>
      </c>
      <c r="AR20" s="92">
        <f t="shared" si="11"/>
        <v>1733.4648815616004</v>
      </c>
      <c r="AS20" s="92">
        <f t="shared" ref="AS20" si="45">AL20+AO20+AQ20+AR20</f>
        <v>153128.98342845443</v>
      </c>
      <c r="AT20" s="92">
        <f t="shared" ref="AT20" si="46">AS20/12000</f>
        <v>12.760748619037869</v>
      </c>
      <c r="AU20" s="92">
        <v>49</v>
      </c>
      <c r="AV20" s="92">
        <f t="shared" ref="AV20" si="47">AL20/(1.08*(AA20-AU20))</f>
        <v>2439.6362570928659</v>
      </c>
      <c r="AW20" s="282">
        <v>100000</v>
      </c>
      <c r="AX20" s="282">
        <f t="shared" si="29"/>
        <v>0</v>
      </c>
      <c r="AY20" s="282">
        <f t="shared" si="30"/>
        <v>12</v>
      </c>
      <c r="AZ20" s="282">
        <f t="shared" si="31"/>
        <v>0</v>
      </c>
      <c r="BA20" s="282">
        <f t="shared" si="32"/>
        <v>0</v>
      </c>
      <c r="BB20" s="303"/>
      <c r="BC20" s="303"/>
      <c r="BD20" s="303"/>
      <c r="BE20" s="303"/>
      <c r="BF20" s="303"/>
      <c r="BG20" s="303"/>
      <c r="BH20" s="303"/>
      <c r="BI20" s="303"/>
      <c r="BJ20" s="336"/>
      <c r="BK20" s="115"/>
    </row>
    <row r="21" spans="1:63" s="95" customFormat="1">
      <c r="A21" s="90">
        <v>3</v>
      </c>
      <c r="B21" s="300"/>
      <c r="C21" s="106" t="s">
        <v>103</v>
      </c>
      <c r="D21" s="91">
        <v>4.5</v>
      </c>
      <c r="E21" s="94">
        <v>4.3</v>
      </c>
      <c r="F21" s="91">
        <v>11.483000000000001</v>
      </c>
      <c r="G21" s="104">
        <f t="shared" si="12"/>
        <v>19.349999999999998</v>
      </c>
      <c r="H21" s="104">
        <f t="shared" si="13"/>
        <v>2390.8294979999996</v>
      </c>
      <c r="I21" s="91">
        <v>30</v>
      </c>
      <c r="J21" s="92">
        <f t="shared" si="14"/>
        <v>1195.4147489999998</v>
      </c>
      <c r="K21" s="91">
        <v>1</v>
      </c>
      <c r="L21" s="91">
        <v>3</v>
      </c>
      <c r="M21" s="92">
        <f t="shared" si="15"/>
        <v>119.54147489999998</v>
      </c>
      <c r="N21" s="92">
        <f t="shared" si="16"/>
        <v>0</v>
      </c>
      <c r="O21" s="93">
        <f t="shared" si="17"/>
        <v>2449.6773514361798</v>
      </c>
      <c r="P21" s="92">
        <f t="shared" si="18"/>
        <v>2694.6450865797979</v>
      </c>
      <c r="Q21" s="94">
        <f t="shared" si="19"/>
        <v>13.429680624127467</v>
      </c>
      <c r="R21" s="94">
        <f t="shared" si="20"/>
        <v>6.7366127164494944</v>
      </c>
      <c r="S21" s="301"/>
      <c r="T21" s="297"/>
      <c r="U21" s="297"/>
      <c r="V21" s="297"/>
      <c r="W21" s="297"/>
      <c r="X21" s="317"/>
      <c r="Y21" s="91">
        <v>24</v>
      </c>
      <c r="Z21" s="91">
        <v>55</v>
      </c>
      <c r="AA21" s="91">
        <v>106</v>
      </c>
      <c r="AB21" s="91">
        <f t="shared" si="21"/>
        <v>76</v>
      </c>
      <c r="AC21" s="92">
        <f t="shared" si="0"/>
        <v>26095.255296000003</v>
      </c>
      <c r="AD21" s="92">
        <f t="shared" si="1"/>
        <v>18266.678707200001</v>
      </c>
      <c r="AE21" s="92">
        <f t="shared" si="2"/>
        <v>2498.4719999999998</v>
      </c>
      <c r="AF21" s="92">
        <f t="shared" si="3"/>
        <v>2498.4719999999998</v>
      </c>
      <c r="AG21" s="92">
        <f t="shared" si="4"/>
        <v>364.36049999999994</v>
      </c>
      <c r="AH21" s="92">
        <f t="shared" si="5"/>
        <v>149688.00000000003</v>
      </c>
      <c r="AI21" s="92">
        <f t="shared" si="6"/>
        <v>285</v>
      </c>
      <c r="AJ21" s="92">
        <f t="shared" si="7"/>
        <v>464.77725441119998</v>
      </c>
      <c r="AK21" s="92">
        <f t="shared" si="22"/>
        <v>150802.13775441123</v>
      </c>
      <c r="AL21" s="92">
        <f t="shared" si="23"/>
        <v>150802.13775441123</v>
      </c>
      <c r="AM21" s="92">
        <f t="shared" si="8"/>
        <v>215</v>
      </c>
      <c r="AN21" s="92">
        <f t="shared" si="9"/>
        <v>292.63753055519993</v>
      </c>
      <c r="AO21" s="92">
        <f t="shared" si="24"/>
        <v>507.63753055519993</v>
      </c>
      <c r="AP21" s="92">
        <f t="shared" si="25"/>
        <v>151309.77528496642</v>
      </c>
      <c r="AQ21" s="92">
        <f t="shared" si="10"/>
        <v>3408.3665323487999</v>
      </c>
      <c r="AR21" s="92">
        <f t="shared" si="11"/>
        <v>6438.0256722143995</v>
      </c>
      <c r="AS21" s="92">
        <f t="shared" si="26"/>
        <v>161156.16748952962</v>
      </c>
      <c r="AT21" s="92">
        <f t="shared" si="27"/>
        <v>13.429680624127467</v>
      </c>
      <c r="AU21" s="92">
        <v>49</v>
      </c>
      <c r="AV21" s="92">
        <f t="shared" si="28"/>
        <v>2449.6773514361798</v>
      </c>
      <c r="AW21" s="282">
        <v>100000</v>
      </c>
      <c r="AX21" s="282">
        <f t="shared" si="29"/>
        <v>0</v>
      </c>
      <c r="AY21" s="282">
        <f t="shared" si="30"/>
        <v>12</v>
      </c>
      <c r="AZ21" s="282">
        <f t="shared" si="31"/>
        <v>0</v>
      </c>
      <c r="BA21" s="282">
        <f t="shared" si="32"/>
        <v>0</v>
      </c>
      <c r="BB21" s="303"/>
      <c r="BC21" s="303"/>
      <c r="BD21" s="303"/>
      <c r="BE21" s="303"/>
      <c r="BF21" s="303"/>
      <c r="BG21" s="303"/>
      <c r="BH21" s="303"/>
      <c r="BI21" s="303"/>
      <c r="BJ21" s="336"/>
      <c r="BK21" s="115"/>
    </row>
    <row r="22" spans="1:63" s="95" customFormat="1">
      <c r="A22" s="90">
        <v>3</v>
      </c>
      <c r="B22" s="300"/>
      <c r="C22" s="106" t="s">
        <v>103</v>
      </c>
      <c r="D22" s="91">
        <v>6.5549999999999997</v>
      </c>
      <c r="E22" s="94">
        <v>3.23</v>
      </c>
      <c r="F22" s="91">
        <v>6.89</v>
      </c>
      <c r="G22" s="104">
        <f t="shared" ref="G22:G23" si="48">D22*E22</f>
        <v>21.172649999999997</v>
      </c>
      <c r="H22" s="104">
        <f t="shared" si="13"/>
        <v>1569.6640494599997</v>
      </c>
      <c r="I22" s="91">
        <v>30</v>
      </c>
      <c r="J22" s="92">
        <f t="shared" si="14"/>
        <v>784.83202472999983</v>
      </c>
      <c r="K22" s="91">
        <v>1</v>
      </c>
      <c r="L22" s="91">
        <v>3</v>
      </c>
      <c r="M22" s="92">
        <f t="shared" ref="M22:M23" si="49">J22*0.1</f>
        <v>78.483202472999992</v>
      </c>
      <c r="N22" s="92">
        <f t="shared" ref="N22:N23" si="50">J22*0</f>
        <v>0</v>
      </c>
      <c r="O22" s="93">
        <f t="shared" ref="O22:O23" si="51">AV22</f>
        <v>2447.6417103754884</v>
      </c>
      <c r="P22" s="92">
        <f t="shared" ref="P22:P23" si="52">MAX(J22,O22)*1.1</f>
        <v>2692.4058814130376</v>
      </c>
      <c r="Q22" s="94">
        <f t="shared" ref="Q22:Q23" si="53">AT22</f>
        <v>13.129037915972086</v>
      </c>
      <c r="R22" s="94">
        <f t="shared" ref="R22:R23" si="54">P22/400</f>
        <v>6.731014703532594</v>
      </c>
      <c r="S22" s="301"/>
      <c r="T22" s="297"/>
      <c r="U22" s="297"/>
      <c r="V22" s="297"/>
      <c r="W22" s="297"/>
      <c r="X22" s="317"/>
      <c r="Y22" s="91">
        <v>24</v>
      </c>
      <c r="Z22" s="91">
        <v>55</v>
      </c>
      <c r="AA22" s="91">
        <v>106</v>
      </c>
      <c r="AB22" s="91">
        <f t="shared" ref="AB22:AB23" si="55">CEILING((9*Y22/5)+32,1)</f>
        <v>76</v>
      </c>
      <c r="AC22" s="92">
        <f t="shared" si="0"/>
        <v>17410.192175999997</v>
      </c>
      <c r="AD22" s="92">
        <f t="shared" si="1"/>
        <v>12187.134523199999</v>
      </c>
      <c r="AE22" s="92">
        <f t="shared" si="2"/>
        <v>2733.8125679999994</v>
      </c>
      <c r="AF22" s="92">
        <f t="shared" si="3"/>
        <v>2733.8125679999994</v>
      </c>
      <c r="AG22" s="92">
        <f t="shared" si="4"/>
        <v>398.68099949999993</v>
      </c>
      <c r="AH22" s="92">
        <f t="shared" si="5"/>
        <v>149688.00000000003</v>
      </c>
      <c r="AI22" s="92">
        <f t="shared" si="6"/>
        <v>285</v>
      </c>
      <c r="AJ22" s="92">
        <f t="shared" si="7"/>
        <v>305.14269121502394</v>
      </c>
      <c r="AK22" s="92">
        <f t="shared" ref="AK22:AK23" si="56">(AC22+AD22+AE22+AF22)*0+AG22+AH22+AI22+AJ22</f>
        <v>150676.82369071507</v>
      </c>
      <c r="AL22" s="92">
        <f t="shared" ref="AL22:AL23" si="57">AK22*1</f>
        <v>150676.82369071507</v>
      </c>
      <c r="AM22" s="92">
        <f t="shared" si="8"/>
        <v>215</v>
      </c>
      <c r="AN22" s="92">
        <f t="shared" si="9"/>
        <v>192.12687965390398</v>
      </c>
      <c r="AO22" s="92">
        <f t="shared" ref="AO22:AO23" si="58">(AM22+AN22)*1</f>
        <v>407.12687965390398</v>
      </c>
      <c r="AP22" s="92">
        <f t="shared" ref="AP22:AP23" si="59">AO22+AL22</f>
        <v>151083.95057036896</v>
      </c>
      <c r="AQ22" s="92">
        <f t="shared" si="10"/>
        <v>2237.7130689101759</v>
      </c>
      <c r="AR22" s="92">
        <f t="shared" si="11"/>
        <v>4226.7913523858879</v>
      </c>
      <c r="AS22" s="92">
        <f t="shared" ref="AS22:AS23" si="60">AL22+AO22+AQ22+AR22</f>
        <v>157548.45499166503</v>
      </c>
      <c r="AT22" s="92">
        <f t="shared" ref="AT22:AT23" si="61">AS22/12000</f>
        <v>13.129037915972086</v>
      </c>
      <c r="AU22" s="92">
        <v>49</v>
      </c>
      <c r="AV22" s="92">
        <f t="shared" ref="AV22:AV23" si="62">AL22/(1.08*(AA22-AU22))</f>
        <v>2447.6417103754884</v>
      </c>
      <c r="AW22" s="282">
        <v>100000</v>
      </c>
      <c r="AX22" s="282">
        <f t="shared" si="29"/>
        <v>0</v>
      </c>
      <c r="AY22" s="282">
        <f t="shared" si="30"/>
        <v>12</v>
      </c>
      <c r="AZ22" s="282">
        <f t="shared" si="31"/>
        <v>0</v>
      </c>
      <c r="BA22" s="282">
        <f t="shared" si="32"/>
        <v>0</v>
      </c>
      <c r="BB22" s="303"/>
      <c r="BC22" s="303"/>
      <c r="BD22" s="303"/>
      <c r="BE22" s="303"/>
      <c r="BF22" s="303"/>
      <c r="BG22" s="303"/>
      <c r="BH22" s="303"/>
      <c r="BI22" s="303"/>
      <c r="BJ22" s="336"/>
      <c r="BK22" s="115"/>
    </row>
    <row r="23" spans="1:63" s="95" customFormat="1">
      <c r="A23" s="90">
        <v>3</v>
      </c>
      <c r="B23" s="300"/>
      <c r="C23" s="106" t="s">
        <v>103</v>
      </c>
      <c r="D23" s="91">
        <v>4.5</v>
      </c>
      <c r="E23" s="94">
        <v>2.2250000000000001</v>
      </c>
      <c r="F23" s="91">
        <v>6.89</v>
      </c>
      <c r="G23" s="104">
        <f t="shared" si="48"/>
        <v>10.012500000000001</v>
      </c>
      <c r="H23" s="104">
        <f t="shared" si="13"/>
        <v>742.290705</v>
      </c>
      <c r="I23" s="91">
        <v>30</v>
      </c>
      <c r="J23" s="92">
        <f t="shared" si="14"/>
        <v>371.1453525</v>
      </c>
      <c r="K23" s="91">
        <v>1</v>
      </c>
      <c r="L23" s="91">
        <v>4</v>
      </c>
      <c r="M23" s="92">
        <f t="shared" si="49"/>
        <v>37.114535250000003</v>
      </c>
      <c r="N23" s="92">
        <f t="shared" si="50"/>
        <v>0</v>
      </c>
      <c r="O23" s="93">
        <f t="shared" si="51"/>
        <v>3252.1415966220275</v>
      </c>
      <c r="P23" s="92">
        <f t="shared" si="52"/>
        <v>3577.3557562842307</v>
      </c>
      <c r="Q23" s="94">
        <f t="shared" si="53"/>
        <v>16.963728592484667</v>
      </c>
      <c r="R23" s="94">
        <f t="shared" si="54"/>
        <v>8.9433893907105766</v>
      </c>
      <c r="S23" s="301"/>
      <c r="T23" s="297"/>
      <c r="U23" s="297"/>
      <c r="V23" s="297"/>
      <c r="W23" s="297"/>
      <c r="X23" s="317"/>
      <c r="Y23" s="91">
        <v>24</v>
      </c>
      <c r="Z23" s="91">
        <v>55</v>
      </c>
      <c r="AA23" s="91">
        <v>106</v>
      </c>
      <c r="AB23" s="91">
        <f t="shared" si="55"/>
        <v>76</v>
      </c>
      <c r="AC23" s="92">
        <f t="shared" si="0"/>
        <v>11965.614959999999</v>
      </c>
      <c r="AD23" s="92">
        <f t="shared" si="1"/>
        <v>8375.9304719999982</v>
      </c>
      <c r="AE23" s="92">
        <f t="shared" si="2"/>
        <v>1292.8140000000003</v>
      </c>
      <c r="AF23" s="92">
        <f t="shared" si="3"/>
        <v>1292.8140000000003</v>
      </c>
      <c r="AG23" s="92">
        <f t="shared" si="4"/>
        <v>188.53537500000002</v>
      </c>
      <c r="AH23" s="92">
        <f t="shared" si="5"/>
        <v>199584</v>
      </c>
      <c r="AI23" s="92">
        <f t="shared" si="6"/>
        <v>285</v>
      </c>
      <c r="AJ23" s="92">
        <f t="shared" si="7"/>
        <v>144.30131305200001</v>
      </c>
      <c r="AK23" s="92">
        <f t="shared" si="56"/>
        <v>200201.83668805202</v>
      </c>
      <c r="AL23" s="92">
        <f t="shared" si="57"/>
        <v>200201.83668805202</v>
      </c>
      <c r="AM23" s="92">
        <f t="shared" si="8"/>
        <v>215</v>
      </c>
      <c r="AN23" s="92">
        <f t="shared" si="9"/>
        <v>90.856382292000006</v>
      </c>
      <c r="AO23" s="92">
        <f t="shared" si="58"/>
        <v>305.85638229200003</v>
      </c>
      <c r="AP23" s="92">
        <f t="shared" si="59"/>
        <v>200507.69307034402</v>
      </c>
      <c r="AQ23" s="92">
        <f t="shared" si="10"/>
        <v>1058.2096290480001</v>
      </c>
      <c r="AR23" s="92">
        <f t="shared" si="11"/>
        <v>1998.8404104240003</v>
      </c>
      <c r="AS23" s="92">
        <f t="shared" si="60"/>
        <v>203564.74310981602</v>
      </c>
      <c r="AT23" s="92">
        <f t="shared" si="61"/>
        <v>16.963728592484667</v>
      </c>
      <c r="AU23" s="92">
        <v>49</v>
      </c>
      <c r="AV23" s="92">
        <f t="shared" si="62"/>
        <v>3252.1415966220275</v>
      </c>
      <c r="AW23" s="282">
        <v>100000</v>
      </c>
      <c r="AX23" s="282">
        <f t="shared" si="29"/>
        <v>0</v>
      </c>
      <c r="AY23" s="282">
        <f t="shared" si="30"/>
        <v>16</v>
      </c>
      <c r="AZ23" s="282">
        <f t="shared" si="31"/>
        <v>0</v>
      </c>
      <c r="BA23" s="282">
        <f t="shared" si="32"/>
        <v>0</v>
      </c>
      <c r="BB23" s="303"/>
      <c r="BC23" s="303"/>
      <c r="BD23" s="303"/>
      <c r="BE23" s="303"/>
      <c r="BF23" s="303"/>
      <c r="BG23" s="303"/>
      <c r="BH23" s="303"/>
      <c r="BI23" s="303"/>
      <c r="BJ23" s="336"/>
      <c r="BK23" s="115"/>
    </row>
    <row r="24" spans="1:63" s="95" customFormat="1">
      <c r="A24" s="90">
        <v>4</v>
      </c>
      <c r="B24" s="300"/>
      <c r="C24" s="106" t="s">
        <v>104</v>
      </c>
      <c r="D24" s="91">
        <v>2.4</v>
      </c>
      <c r="E24" s="94">
        <v>2</v>
      </c>
      <c r="F24" s="91">
        <v>9.1859999999999999</v>
      </c>
      <c r="G24" s="104">
        <f t="shared" si="12"/>
        <v>4.8</v>
      </c>
      <c r="H24" s="104">
        <f t="shared" si="13"/>
        <v>474.43852799999996</v>
      </c>
      <c r="I24" s="91">
        <v>30</v>
      </c>
      <c r="J24" s="92">
        <f t="shared" si="14"/>
        <v>237.21926399999998</v>
      </c>
      <c r="K24" s="91">
        <v>0</v>
      </c>
      <c r="L24" s="91">
        <v>0</v>
      </c>
      <c r="M24" s="92">
        <f t="shared" si="15"/>
        <v>23.721926400000001</v>
      </c>
      <c r="N24" s="92">
        <f>J24*1</f>
        <v>237.21926399999998</v>
      </c>
      <c r="O24" s="93">
        <f t="shared" si="17"/>
        <v>17.948722356647171</v>
      </c>
      <c r="P24" s="92">
        <f t="shared" si="18"/>
        <v>260.94119039999998</v>
      </c>
      <c r="Q24" s="94">
        <f t="shared" si="19"/>
        <v>1.9364092794368002</v>
      </c>
      <c r="R24" s="94">
        <f t="shared" si="20"/>
        <v>0.65235297599999997</v>
      </c>
      <c r="S24" s="301"/>
      <c r="T24" s="297"/>
      <c r="U24" s="297"/>
      <c r="V24" s="297"/>
      <c r="W24" s="297"/>
      <c r="X24" s="317"/>
      <c r="Y24" s="91">
        <v>24</v>
      </c>
      <c r="Z24" s="91">
        <v>55</v>
      </c>
      <c r="AA24" s="91">
        <v>106</v>
      </c>
      <c r="AB24" s="91">
        <f t="shared" si="21"/>
        <v>76</v>
      </c>
      <c r="AC24" s="92">
        <f t="shared" si="0"/>
        <v>10437.647616</v>
      </c>
      <c r="AD24" s="92">
        <f t="shared" si="1"/>
        <v>7306.3533312000018</v>
      </c>
      <c r="AE24" s="92">
        <f t="shared" si="2"/>
        <v>619.77599999999995</v>
      </c>
      <c r="AF24" s="92">
        <f t="shared" si="3"/>
        <v>619.77599999999995</v>
      </c>
      <c r="AG24" s="92">
        <f t="shared" si="4"/>
        <v>90.384</v>
      </c>
      <c r="AH24" s="92">
        <f t="shared" si="5"/>
        <v>0</v>
      </c>
      <c r="AI24" s="92">
        <f t="shared" si="6"/>
        <v>0</v>
      </c>
      <c r="AJ24" s="92">
        <f t="shared" si="7"/>
        <v>1014.5393482751999</v>
      </c>
      <c r="AK24" s="92">
        <f t="shared" si="22"/>
        <v>1104.9233482751999</v>
      </c>
      <c r="AL24" s="92">
        <f t="shared" si="23"/>
        <v>1104.9233482751999</v>
      </c>
      <c r="AM24" s="92">
        <f t="shared" si="8"/>
        <v>0</v>
      </c>
      <c r="AN24" s="92">
        <f t="shared" si="9"/>
        <v>638.78403409920008</v>
      </c>
      <c r="AO24" s="92">
        <f t="shared" si="24"/>
        <v>638.78403409920008</v>
      </c>
      <c r="AP24" s="92">
        <f t="shared" si="25"/>
        <v>1743.7073823743999</v>
      </c>
      <c r="AQ24" s="92">
        <f t="shared" si="10"/>
        <v>7439.9552206847993</v>
      </c>
      <c r="AR24" s="92">
        <f t="shared" si="11"/>
        <v>14053.2487501824</v>
      </c>
      <c r="AS24" s="92">
        <f t="shared" si="26"/>
        <v>23236.911353241601</v>
      </c>
      <c r="AT24" s="92">
        <f t="shared" si="27"/>
        <v>1.9364092794368002</v>
      </c>
      <c r="AU24" s="92">
        <v>49</v>
      </c>
      <c r="AV24" s="92">
        <f t="shared" si="28"/>
        <v>17.948722356647171</v>
      </c>
      <c r="AW24" s="282">
        <v>100000</v>
      </c>
      <c r="AX24" s="282">
        <f t="shared" si="29"/>
        <v>0</v>
      </c>
      <c r="AY24" s="282">
        <f t="shared" si="30"/>
        <v>2</v>
      </c>
      <c r="AZ24" s="282">
        <f t="shared" si="31"/>
        <v>0</v>
      </c>
      <c r="BA24" s="282">
        <f t="shared" si="32"/>
        <v>0</v>
      </c>
      <c r="BB24" s="303"/>
      <c r="BC24" s="303"/>
      <c r="BD24" s="303"/>
      <c r="BE24" s="303"/>
      <c r="BF24" s="303"/>
      <c r="BG24" s="303"/>
      <c r="BH24" s="303"/>
      <c r="BI24" s="303"/>
      <c r="BJ24" s="336"/>
      <c r="BK24" s="115"/>
    </row>
    <row r="25" spans="1:63" s="100" customFormat="1" ht="15.75" thickBot="1">
      <c r="A25" s="90">
        <v>5</v>
      </c>
      <c r="B25" s="300"/>
      <c r="C25" s="106" t="s">
        <v>105</v>
      </c>
      <c r="D25" s="91">
        <v>2.4</v>
      </c>
      <c r="E25" s="94">
        <v>2.2999999999999998</v>
      </c>
      <c r="F25" s="91">
        <v>9.1859999999999999</v>
      </c>
      <c r="G25" s="104">
        <f t="shared" si="12"/>
        <v>5.52</v>
      </c>
      <c r="H25" s="104">
        <f t="shared" si="13"/>
        <v>545.60430719999999</v>
      </c>
      <c r="I25" s="91">
        <v>30</v>
      </c>
      <c r="J25" s="92">
        <f t="shared" si="14"/>
        <v>272.8021536</v>
      </c>
      <c r="K25" s="91">
        <v>0</v>
      </c>
      <c r="L25" s="91">
        <v>0</v>
      </c>
      <c r="M25" s="92">
        <f t="shared" si="15"/>
        <v>27.28021536</v>
      </c>
      <c r="N25" s="92">
        <f>J25*1</f>
        <v>272.8021536</v>
      </c>
      <c r="O25" s="93">
        <f t="shared" si="17"/>
        <v>20.64103071014425</v>
      </c>
      <c r="P25" s="92">
        <f t="shared" si="18"/>
        <v>300.08236896</v>
      </c>
      <c r="Q25" s="94">
        <f t="shared" si="19"/>
        <v>2.2268706713523199</v>
      </c>
      <c r="R25" s="94">
        <f t="shared" si="20"/>
        <v>0.75020592239999995</v>
      </c>
      <c r="S25" s="301"/>
      <c r="T25" s="298"/>
      <c r="U25" s="298"/>
      <c r="V25" s="298"/>
      <c r="W25" s="298"/>
      <c r="X25" s="318"/>
      <c r="Y25" s="91">
        <v>24</v>
      </c>
      <c r="Z25" s="91" t="s">
        <v>106</v>
      </c>
      <c r="AA25" s="91">
        <v>106</v>
      </c>
      <c r="AB25" s="91">
        <f t="shared" si="21"/>
        <v>76</v>
      </c>
      <c r="AC25" s="92">
        <f t="shared" si="0"/>
        <v>11149.305407999998</v>
      </c>
      <c r="AD25" s="92">
        <f t="shared" si="1"/>
        <v>7804.5137855999992</v>
      </c>
      <c r="AE25" s="92">
        <f t="shared" si="2"/>
        <v>712.74239999999986</v>
      </c>
      <c r="AF25" s="92">
        <f t="shared" si="3"/>
        <v>712.74239999999986</v>
      </c>
      <c r="AG25" s="92">
        <f t="shared" si="4"/>
        <v>103.94159999999999</v>
      </c>
      <c r="AH25" s="92">
        <f t="shared" si="5"/>
        <v>0</v>
      </c>
      <c r="AI25" s="92">
        <f t="shared" si="6"/>
        <v>0</v>
      </c>
      <c r="AJ25" s="92">
        <f t="shared" si="7"/>
        <v>1166.7202505164801</v>
      </c>
      <c r="AK25" s="92">
        <f t="shared" si="22"/>
        <v>1270.6618505164802</v>
      </c>
      <c r="AL25" s="92">
        <f t="shared" si="23"/>
        <v>1270.6618505164802</v>
      </c>
      <c r="AM25" s="92">
        <f t="shared" si="8"/>
        <v>0</v>
      </c>
      <c r="AN25" s="92">
        <f t="shared" si="9"/>
        <v>734.60163921408002</v>
      </c>
      <c r="AO25" s="92">
        <f t="shared" si="24"/>
        <v>734.60163921408002</v>
      </c>
      <c r="AP25" s="92">
        <f t="shared" si="25"/>
        <v>2005.2634897305602</v>
      </c>
      <c r="AQ25" s="92">
        <f t="shared" si="10"/>
        <v>8555.9485037875202</v>
      </c>
      <c r="AR25" s="92">
        <f t="shared" si="11"/>
        <v>16161.236062709759</v>
      </c>
      <c r="AS25" s="92">
        <f t="shared" si="26"/>
        <v>26722.44805622784</v>
      </c>
      <c r="AT25" s="92">
        <f t="shared" si="27"/>
        <v>2.2268706713523199</v>
      </c>
      <c r="AU25" s="92">
        <v>49</v>
      </c>
      <c r="AV25" s="92">
        <f t="shared" si="28"/>
        <v>20.64103071014425</v>
      </c>
      <c r="AW25" s="282">
        <v>100000</v>
      </c>
      <c r="AX25" s="282">
        <f t="shared" si="29"/>
        <v>0</v>
      </c>
      <c r="AY25" s="282">
        <f t="shared" si="30"/>
        <v>2</v>
      </c>
      <c r="AZ25" s="282">
        <f t="shared" si="31"/>
        <v>0</v>
      </c>
      <c r="BA25" s="282">
        <f t="shared" si="32"/>
        <v>0</v>
      </c>
      <c r="BB25" s="303"/>
      <c r="BC25" s="303"/>
      <c r="BD25" s="303"/>
      <c r="BE25" s="303"/>
      <c r="BF25" s="303"/>
      <c r="BG25" s="303"/>
      <c r="BH25" s="303"/>
      <c r="BI25" s="303"/>
      <c r="BJ25" s="336"/>
      <c r="BK25" s="116"/>
    </row>
    <row r="26" spans="1:63" s="101" customFormat="1" ht="21" customHeight="1" thickBot="1">
      <c r="A26" s="96"/>
      <c r="B26" s="97"/>
      <c r="C26" s="139"/>
      <c r="D26" s="97"/>
      <c r="E26" s="99"/>
      <c r="F26" s="97"/>
      <c r="G26" s="173">
        <f>SUM(G18:G25)</f>
        <v>146.94915</v>
      </c>
      <c r="H26" s="173">
        <f>SUM(H18:H25)</f>
        <v>17572.045532459993</v>
      </c>
      <c r="I26" s="177"/>
      <c r="J26" s="175">
        <f t="shared" ref="J26:R26" si="63">SUM(J18:J25)</f>
        <v>8904.6323982299964</v>
      </c>
      <c r="K26" s="174">
        <f t="shared" si="63"/>
        <v>6</v>
      </c>
      <c r="L26" s="174">
        <f t="shared" si="63"/>
        <v>25</v>
      </c>
      <c r="M26" s="175">
        <f t="shared" si="63"/>
        <v>890.46323982299987</v>
      </c>
      <c r="N26" s="175">
        <f t="shared" si="63"/>
        <v>510.02141759999995</v>
      </c>
      <c r="O26" s="175">
        <f t="shared" si="63"/>
        <v>20424.336206019503</v>
      </c>
      <c r="P26" s="175">
        <f t="shared" si="63"/>
        <v>23501.508366061411</v>
      </c>
      <c r="Q26" s="176">
        <f t="shared" si="63"/>
        <v>114.78297029554584</v>
      </c>
      <c r="R26" s="176">
        <f t="shared" si="63"/>
        <v>58.753770915153538</v>
      </c>
      <c r="S26" s="162"/>
      <c r="T26" s="162"/>
      <c r="U26" s="162"/>
      <c r="V26" s="162"/>
      <c r="W26" s="162"/>
      <c r="X26" s="162"/>
      <c r="Y26" s="97"/>
      <c r="Z26" s="97"/>
      <c r="AA26" s="97"/>
      <c r="AB26" s="97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283"/>
      <c r="AX26" s="283"/>
      <c r="AY26" s="283"/>
      <c r="AZ26" s="283"/>
      <c r="BA26" s="283"/>
      <c r="BB26" s="166"/>
      <c r="BC26" s="122"/>
      <c r="BJ26" s="254"/>
      <c r="BK26" s="122"/>
    </row>
    <row r="27" spans="1:63" s="193" customFormat="1" ht="24" thickBot="1">
      <c r="A27" s="183"/>
      <c r="B27" s="184">
        <v>2</v>
      </c>
      <c r="C27" s="185" t="s">
        <v>98</v>
      </c>
      <c r="D27" s="186"/>
      <c r="E27" s="187"/>
      <c r="F27" s="186"/>
      <c r="G27" s="188"/>
      <c r="H27" s="188"/>
      <c r="I27" s="186"/>
      <c r="J27" s="189"/>
      <c r="K27" s="186"/>
      <c r="L27" s="186"/>
      <c r="M27" s="189"/>
      <c r="N27" s="189"/>
      <c r="O27" s="190"/>
      <c r="P27" s="189"/>
      <c r="Q27" s="187"/>
      <c r="R27" s="187"/>
      <c r="S27" s="194"/>
      <c r="T27" s="194"/>
      <c r="U27" s="194"/>
      <c r="V27" s="194"/>
      <c r="W27" s="194"/>
      <c r="X27" s="194"/>
      <c r="Y27" s="186"/>
      <c r="Z27" s="186"/>
      <c r="AA27" s="186"/>
      <c r="AB27" s="186"/>
      <c r="AC27" s="189"/>
      <c r="AD27" s="189"/>
      <c r="AE27" s="189"/>
      <c r="AF27" s="189"/>
      <c r="AG27" s="189"/>
      <c r="AH27" s="189"/>
      <c r="AI27" s="189"/>
      <c r="AJ27" s="189"/>
      <c r="AK27" s="189"/>
      <c r="AL27" s="189"/>
      <c r="AM27" s="189"/>
      <c r="AN27" s="189"/>
      <c r="AO27" s="189"/>
      <c r="AP27" s="189"/>
      <c r="AQ27" s="189"/>
      <c r="AR27" s="189"/>
      <c r="AS27" s="189"/>
      <c r="AT27" s="189"/>
      <c r="AU27" s="189"/>
      <c r="AV27" s="189"/>
      <c r="AW27" s="281"/>
      <c r="AX27" s="281"/>
      <c r="AY27" s="281"/>
      <c r="AZ27" s="281"/>
      <c r="BA27" s="281"/>
      <c r="BB27" s="195"/>
      <c r="BC27" s="192"/>
      <c r="BJ27" s="255"/>
      <c r="BK27" s="192"/>
    </row>
    <row r="28" spans="1:63" s="89" customFormat="1" ht="15" customHeight="1">
      <c r="A28" s="90">
        <v>6</v>
      </c>
      <c r="B28" s="300" t="s">
        <v>107</v>
      </c>
      <c r="C28" s="106" t="s">
        <v>100</v>
      </c>
      <c r="D28" s="91">
        <v>2.4</v>
      </c>
      <c r="E28" s="94">
        <v>3.17</v>
      </c>
      <c r="F28" s="91">
        <v>9.1859999999999999</v>
      </c>
      <c r="G28" s="104">
        <f>D28*E28</f>
        <v>7.6079999999999997</v>
      </c>
      <c r="H28" s="104">
        <f>D28*E28*F28*10.76</f>
        <v>751.98506687999986</v>
      </c>
      <c r="I28" s="91">
        <v>30</v>
      </c>
      <c r="J28" s="92">
        <f>H28*I28/60</f>
        <v>375.99253343999993</v>
      </c>
      <c r="K28" s="91">
        <v>0</v>
      </c>
      <c r="L28" s="91">
        <v>0</v>
      </c>
      <c r="M28" s="92">
        <f>J28*0.1</f>
        <v>37.599253343999997</v>
      </c>
      <c r="N28" s="92">
        <f>J28*0</f>
        <v>0</v>
      </c>
      <c r="O28" s="93">
        <f>AV28</f>
        <v>4.7018280864436646</v>
      </c>
      <c r="P28" s="92">
        <f>MAX(J28,O28)*1.1</f>
        <v>413.59178678399996</v>
      </c>
      <c r="Q28" s="94">
        <f>AT28</f>
        <v>0.28987190071884794</v>
      </c>
      <c r="R28" s="94">
        <f>P28/400</f>
        <v>1.03397946696</v>
      </c>
      <c r="S28" s="301">
        <f>CEILING(MAX(SUM(Q28:Q33),SUM(R28:R33)),0.5)</f>
        <v>97.5</v>
      </c>
      <c r="T28" s="304">
        <f>S28*2.4</f>
        <v>234</v>
      </c>
      <c r="U28" s="304">
        <f>T28*0.0630902</f>
        <v>14.763106799999999</v>
      </c>
      <c r="V28" s="304">
        <f>0.26*SQRT(T28)</f>
        <v>3.9772352206023727</v>
      </c>
      <c r="W28" s="304">
        <f>CEILING(V28,0.5)</f>
        <v>4</v>
      </c>
      <c r="X28" s="316" t="s">
        <v>101</v>
      </c>
      <c r="Y28" s="91">
        <v>24</v>
      </c>
      <c r="Z28" s="91">
        <v>55</v>
      </c>
      <c r="AA28" s="91">
        <v>106</v>
      </c>
      <c r="AB28" s="91">
        <f>CEILING((9*Y28/5)+32,1)</f>
        <v>76</v>
      </c>
      <c r="AC28" s="92">
        <f t="shared" ref="AC28:AC33" si="64">(D28+E28)*2*10.76*F28*0.4*(AA28-AB28)</f>
        <v>13213.1130048</v>
      </c>
      <c r="AD28" s="92">
        <f t="shared" ref="AD28:AD33" si="65">(D28+E28)*2*10.76*F28*0.28*(AA28-AB28)</f>
        <v>9249.1791033600002</v>
      </c>
      <c r="AE28" s="92">
        <f t="shared" ref="AE28:AE33" si="66">D28*E28*0.4*10.76*(AA28-AB28)</f>
        <v>982.34496000000013</v>
      </c>
      <c r="AF28" s="92">
        <f t="shared" ref="AF28:AF33" si="67">D28*E28*0.4*10.76*(AA28-AB28)</f>
        <v>982.34496000000013</v>
      </c>
      <c r="AG28" s="92">
        <f t="shared" ref="AG28:AG33" si="68">D28*E28*1.75*10.76</f>
        <v>143.25863999999999</v>
      </c>
      <c r="AH28" s="92">
        <f t="shared" ref="AH28:AH33" si="69">L28*(3.5/2)*1.08*0.88*(AA28-AB28)*1000</f>
        <v>0</v>
      </c>
      <c r="AI28" s="92">
        <f t="shared" ref="AI28:AI33" si="70">K28*285</f>
        <v>0</v>
      </c>
      <c r="AJ28" s="92">
        <f t="shared" ref="AJ28:AJ33" si="71">(M28+N28)*0.12*1.08*(AA28-AB28)</f>
        <v>146.185897001472</v>
      </c>
      <c r="AK28" s="92">
        <f>(AC28+AD28+AE28+AF28)*0+AG28+AH28+AI28+AJ28</f>
        <v>289.44453700147199</v>
      </c>
      <c r="AL28" s="92">
        <f>AK28*1</f>
        <v>289.44453700147199</v>
      </c>
      <c r="AM28" s="92">
        <f t="shared" ref="AM28:AM33" si="72">K28*215</f>
        <v>0</v>
      </c>
      <c r="AN28" s="92">
        <f t="shared" ref="AN28:AN33" si="73">(M28+N28)*0.68*0.12*(AA28-AB28)</f>
        <v>92.042972186111996</v>
      </c>
      <c r="AO28" s="92">
        <f>(AM28+AN28)*1</f>
        <v>92.042972186111996</v>
      </c>
      <c r="AP28" s="92">
        <f>AO28+AL28</f>
        <v>381.48750918758401</v>
      </c>
      <c r="AQ28" s="92">
        <f t="shared" ref="AQ28:AQ33" si="74">(M28+N28)*0.88*1.08*(AA28-AB28)</f>
        <v>1072.0299113441279</v>
      </c>
      <c r="AR28" s="92">
        <f t="shared" ref="AR28:AR33" si="75">(M28+N28)*0.88*0.68*90</f>
        <v>2024.9453880944639</v>
      </c>
      <c r="AS28" s="92">
        <f>AL28+AO28+AQ28+AR28</f>
        <v>3478.4628086261755</v>
      </c>
      <c r="AT28" s="92">
        <f>AS28/12000</f>
        <v>0.28987190071884794</v>
      </c>
      <c r="AU28" s="92">
        <v>49</v>
      </c>
      <c r="AV28" s="92">
        <f>AL28/(1.08*(AA28-AU28))</f>
        <v>4.7018280864436646</v>
      </c>
      <c r="AW28" s="282">
        <v>100000</v>
      </c>
      <c r="AX28" s="282">
        <f>CEILING(IF(AW28=20,P28*1/350,(IF(AWB28=5,P28*1/300,0))),2)</f>
        <v>0</v>
      </c>
      <c r="AY28" s="282">
        <f>CEILING(IF(AW28=100000,P28*1/250,0),2)</f>
        <v>2</v>
      </c>
      <c r="AZ28" s="282">
        <f>CEILING(IF(AW28=10000,P28*1/225,(IF(AWB28=10000,P28*1/225,0))),2)</f>
        <v>0</v>
      </c>
      <c r="BA28" s="282">
        <f>CEILING(IF(AW28=1000,P28*1/100,(IF(AWB28=100,P28*1/100,0))),2)</f>
        <v>0</v>
      </c>
      <c r="BB28" s="303">
        <f>CEILING(SUM(P28:P33),50)</f>
        <v>19850</v>
      </c>
      <c r="BC28" s="303">
        <v>150</v>
      </c>
      <c r="BD28" s="303"/>
      <c r="BE28" s="303">
        <v>25</v>
      </c>
      <c r="BF28" s="303">
        <f>CEILING(N34*1.1, 25)</f>
        <v>575</v>
      </c>
      <c r="BG28" s="324">
        <v>75</v>
      </c>
      <c r="BH28" s="324"/>
      <c r="BI28" s="324">
        <v>1</v>
      </c>
      <c r="BJ28" s="336">
        <f>BE28*(750/1000)+S28*0.8+BI28*(750/1000)</f>
        <v>97.5</v>
      </c>
      <c r="BK28" s="114">
        <f>U28*3.6</f>
        <v>53.14718448</v>
      </c>
    </row>
    <row r="29" spans="1:63" s="95" customFormat="1">
      <c r="A29" s="90">
        <v>7</v>
      </c>
      <c r="B29" s="300"/>
      <c r="C29" s="106" t="s">
        <v>108</v>
      </c>
      <c r="D29" s="91">
        <v>7.88</v>
      </c>
      <c r="E29" s="94">
        <v>7.4450000000000003</v>
      </c>
      <c r="F29" s="91">
        <v>13.12</v>
      </c>
      <c r="G29" s="104">
        <f t="shared" ref="G29:G33" si="76">D29*E29</f>
        <v>58.666600000000003</v>
      </c>
      <c r="H29" s="104">
        <f t="shared" ref="H29:H33" si="77">D29*E29*F29*10.76</f>
        <v>8282.0343219200004</v>
      </c>
      <c r="I29" s="91">
        <v>30</v>
      </c>
      <c r="J29" s="92">
        <f t="shared" ref="J29:J33" si="78">H29*I29/60</f>
        <v>4141.0171609600002</v>
      </c>
      <c r="K29" s="91">
        <v>2</v>
      </c>
      <c r="L29" s="91">
        <v>15</v>
      </c>
      <c r="M29" s="92">
        <f t="shared" ref="M29:M33" si="79">J29*0.1</f>
        <v>414.10171609600002</v>
      </c>
      <c r="N29" s="92">
        <f t="shared" ref="N29:N31" si="80">J29*0</f>
        <v>0</v>
      </c>
      <c r="O29" s="93">
        <f t="shared" ref="O29:O33" si="81">AV29</f>
        <v>12211.252754226467</v>
      </c>
      <c r="P29" s="92">
        <f t="shared" ref="P29:P33" si="82">MAX(J29,O29)*1.1</f>
        <v>13432.378029649115</v>
      </c>
      <c r="Q29" s="94">
        <f t="shared" ref="Q29:Q33" si="83">AT29</f>
        <v>65.606430891881644</v>
      </c>
      <c r="R29" s="94">
        <f t="shared" ref="R29:R33" si="84">P29/400</f>
        <v>33.580945074122788</v>
      </c>
      <c r="S29" s="301"/>
      <c r="T29" s="297"/>
      <c r="U29" s="297"/>
      <c r="V29" s="297"/>
      <c r="W29" s="297"/>
      <c r="X29" s="317"/>
      <c r="Y29" s="91">
        <v>24</v>
      </c>
      <c r="Z29" s="91">
        <v>55</v>
      </c>
      <c r="AA29" s="91">
        <v>106</v>
      </c>
      <c r="AB29" s="91">
        <f t="shared" ref="AB29:AB33" si="85">CEILING((9*Y29/5)+32,1)</f>
        <v>76</v>
      </c>
      <c r="AC29" s="92">
        <f t="shared" si="64"/>
        <v>51922.767359999991</v>
      </c>
      <c r="AD29" s="92">
        <f t="shared" si="65"/>
        <v>36345.937151999999</v>
      </c>
      <c r="AE29" s="92">
        <f t="shared" si="66"/>
        <v>7575.0313919999999</v>
      </c>
      <c r="AF29" s="92">
        <f t="shared" si="67"/>
        <v>7575.0313919999999</v>
      </c>
      <c r="AG29" s="92">
        <f t="shared" si="68"/>
        <v>1104.692078</v>
      </c>
      <c r="AH29" s="92">
        <f t="shared" si="69"/>
        <v>748440</v>
      </c>
      <c r="AI29" s="92">
        <f t="shared" si="70"/>
        <v>570</v>
      </c>
      <c r="AJ29" s="92">
        <f t="shared" si="71"/>
        <v>1610.0274721812482</v>
      </c>
      <c r="AK29" s="92">
        <f t="shared" ref="AK29:AK33" si="86">(AC29+AD29+AE29+AF29)*0+AG29+AH29+AI29+AJ29</f>
        <v>751724.7195501813</v>
      </c>
      <c r="AL29" s="92">
        <f t="shared" ref="AL29:AL33" si="87">AK29*1</f>
        <v>751724.7195501813</v>
      </c>
      <c r="AM29" s="92">
        <f t="shared" si="72"/>
        <v>430</v>
      </c>
      <c r="AN29" s="92">
        <f t="shared" si="73"/>
        <v>1013.7210010030083</v>
      </c>
      <c r="AO29" s="92">
        <f t="shared" ref="AO29:AO33" si="88">(AM29+AN29)*1</f>
        <v>1443.7210010030083</v>
      </c>
      <c r="AP29" s="92">
        <f t="shared" ref="AP29:AP33" si="89">AO29+AL29</f>
        <v>753168.44055118435</v>
      </c>
      <c r="AQ29" s="92">
        <f t="shared" si="74"/>
        <v>11806.868129329154</v>
      </c>
      <c r="AR29" s="92">
        <f t="shared" si="75"/>
        <v>22301.86202206618</v>
      </c>
      <c r="AS29" s="92">
        <f t="shared" ref="AS29:AS33" si="90">AL29+AO29+AQ29+AR29</f>
        <v>787277.17070257966</v>
      </c>
      <c r="AT29" s="92">
        <f t="shared" ref="AT29:AT33" si="91">AS29/12000</f>
        <v>65.606430891881644</v>
      </c>
      <c r="AU29" s="92">
        <v>49</v>
      </c>
      <c r="AV29" s="92">
        <f t="shared" ref="AV29:AV33" si="92">AL29/(1.08*(AA29-AU29))</f>
        <v>12211.252754226467</v>
      </c>
      <c r="AW29" s="282">
        <v>100000</v>
      </c>
      <c r="AX29" s="282">
        <f t="shared" ref="AX29:AX33" si="93">CEILING(IF(AW29=20,P29*1/350,(IF(AWB29=5,P29*1/300,0))),2)</f>
        <v>0</v>
      </c>
      <c r="AY29" s="282">
        <f t="shared" ref="AY29:AY33" si="94">CEILING(IF(AW29=100000,P29*1/250,0),2)</f>
        <v>54</v>
      </c>
      <c r="AZ29" s="282">
        <f t="shared" ref="AZ29:AZ33" si="95">CEILING(IF(AW29=10000,P29*1/225,(IF(AWB29=10000,P29*1/225,0))),2)</f>
        <v>0</v>
      </c>
      <c r="BA29" s="282">
        <f t="shared" ref="BA29:BA33" si="96">CEILING(IF(AW29=1000,P29*1/100,(IF(AWB29=100,P29*1/100,0))),2)</f>
        <v>0</v>
      </c>
      <c r="BB29" s="303"/>
      <c r="BC29" s="303"/>
      <c r="BD29" s="303"/>
      <c r="BE29" s="303"/>
      <c r="BF29" s="303"/>
      <c r="BG29" s="325"/>
      <c r="BH29" s="325"/>
      <c r="BI29" s="325"/>
      <c r="BJ29" s="336"/>
      <c r="BK29" s="115"/>
    </row>
    <row r="30" spans="1:63" s="95" customFormat="1">
      <c r="A30" s="90">
        <v>8</v>
      </c>
      <c r="B30" s="300"/>
      <c r="C30" s="106" t="s">
        <v>109</v>
      </c>
      <c r="D30" s="91">
        <v>6.55</v>
      </c>
      <c r="E30" s="94">
        <v>5.41</v>
      </c>
      <c r="F30" s="91">
        <v>11.483000000000001</v>
      </c>
      <c r="G30" s="104">
        <f t="shared" si="76"/>
        <v>35.435499999999998</v>
      </c>
      <c r="H30" s="104">
        <f t="shared" si="77"/>
        <v>4378.3069083399996</v>
      </c>
      <c r="I30" s="91">
        <v>30</v>
      </c>
      <c r="J30" s="92">
        <f t="shared" si="78"/>
        <v>2189.1534541699998</v>
      </c>
      <c r="K30" s="91">
        <v>1</v>
      </c>
      <c r="L30" s="91">
        <v>3</v>
      </c>
      <c r="M30" s="92">
        <f t="shared" si="79"/>
        <v>218.915345417</v>
      </c>
      <c r="N30" s="92">
        <f t="shared" si="80"/>
        <v>0</v>
      </c>
      <c r="O30" s="93">
        <f t="shared" si="81"/>
        <v>2460.8738357371885</v>
      </c>
      <c r="P30" s="92">
        <f t="shared" si="82"/>
        <v>2706.9612193109074</v>
      </c>
      <c r="Q30" s="94">
        <f t="shared" si="83"/>
        <v>14.1894931054058</v>
      </c>
      <c r="R30" s="94">
        <f t="shared" si="84"/>
        <v>6.7674030482772682</v>
      </c>
      <c r="S30" s="301"/>
      <c r="T30" s="297"/>
      <c r="U30" s="297"/>
      <c r="V30" s="297"/>
      <c r="W30" s="297"/>
      <c r="X30" s="317"/>
      <c r="Y30" s="91">
        <v>24</v>
      </c>
      <c r="Z30" s="91">
        <v>55</v>
      </c>
      <c r="AA30" s="91">
        <v>106</v>
      </c>
      <c r="AB30" s="91">
        <f t="shared" si="85"/>
        <v>76</v>
      </c>
      <c r="AC30" s="92">
        <f t="shared" si="64"/>
        <v>35465.824243200012</v>
      </c>
      <c r="AD30" s="92">
        <f t="shared" si="65"/>
        <v>24826.076970240007</v>
      </c>
      <c r="AE30" s="92">
        <f t="shared" si="66"/>
        <v>4575.4317599999995</v>
      </c>
      <c r="AF30" s="92">
        <f t="shared" si="67"/>
        <v>4575.4317599999995</v>
      </c>
      <c r="AG30" s="92">
        <f t="shared" si="68"/>
        <v>667.25046499999996</v>
      </c>
      <c r="AH30" s="92">
        <f t="shared" si="69"/>
        <v>149688.00000000003</v>
      </c>
      <c r="AI30" s="92">
        <f t="shared" si="70"/>
        <v>285</v>
      </c>
      <c r="AJ30" s="92">
        <f t="shared" si="71"/>
        <v>851.14286298129593</v>
      </c>
      <c r="AK30" s="92">
        <f t="shared" si="86"/>
        <v>151491.39332798132</v>
      </c>
      <c r="AL30" s="92">
        <f t="shared" si="87"/>
        <v>151491.39332798132</v>
      </c>
      <c r="AM30" s="92">
        <f t="shared" si="72"/>
        <v>215</v>
      </c>
      <c r="AN30" s="92">
        <f t="shared" si="73"/>
        <v>535.90476558081605</v>
      </c>
      <c r="AO30" s="92">
        <f t="shared" si="88"/>
        <v>750.90476558081605</v>
      </c>
      <c r="AP30" s="92">
        <f t="shared" si="89"/>
        <v>152242.29809356213</v>
      </c>
      <c r="AQ30" s="92">
        <f t="shared" si="74"/>
        <v>6241.7143285295042</v>
      </c>
      <c r="AR30" s="92">
        <f t="shared" si="75"/>
        <v>11789.904842777953</v>
      </c>
      <c r="AS30" s="92">
        <f t="shared" si="90"/>
        <v>170273.91726486961</v>
      </c>
      <c r="AT30" s="92">
        <f t="shared" si="91"/>
        <v>14.1894931054058</v>
      </c>
      <c r="AU30" s="92">
        <v>49</v>
      </c>
      <c r="AV30" s="92">
        <f t="shared" si="92"/>
        <v>2460.8738357371885</v>
      </c>
      <c r="AW30" s="282">
        <v>100000</v>
      </c>
      <c r="AX30" s="282">
        <f t="shared" si="93"/>
        <v>0</v>
      </c>
      <c r="AY30" s="282">
        <f t="shared" si="94"/>
        <v>12</v>
      </c>
      <c r="AZ30" s="282">
        <f t="shared" si="95"/>
        <v>0</v>
      </c>
      <c r="BA30" s="282">
        <f t="shared" si="96"/>
        <v>0</v>
      </c>
      <c r="BB30" s="303"/>
      <c r="BC30" s="303"/>
      <c r="BD30" s="303"/>
      <c r="BE30" s="303"/>
      <c r="BF30" s="303"/>
      <c r="BG30" s="325"/>
      <c r="BH30" s="325"/>
      <c r="BI30" s="325"/>
      <c r="BJ30" s="336"/>
      <c r="BK30" s="115"/>
    </row>
    <row r="31" spans="1:63" s="95" customFormat="1">
      <c r="A31" s="90">
        <v>8</v>
      </c>
      <c r="B31" s="300"/>
      <c r="C31" s="106" t="s">
        <v>109</v>
      </c>
      <c r="D31" s="91">
        <v>6.55</v>
      </c>
      <c r="E31" s="94">
        <v>2.0499999999999998</v>
      </c>
      <c r="F31" s="91">
        <v>6.89</v>
      </c>
      <c r="G31" s="104">
        <f t="shared" si="76"/>
        <v>13.427499999999998</v>
      </c>
      <c r="H31" s="104">
        <f t="shared" si="77"/>
        <v>995.46651099999974</v>
      </c>
      <c r="I31" s="91">
        <v>30</v>
      </c>
      <c r="J31" s="92">
        <f t="shared" si="78"/>
        <v>497.73325549999987</v>
      </c>
      <c r="K31" s="91">
        <v>1</v>
      </c>
      <c r="L31" s="91">
        <v>3</v>
      </c>
      <c r="M31" s="92">
        <f t="shared" si="79"/>
        <v>49.773325549999988</v>
      </c>
      <c r="N31" s="92">
        <f t="shared" si="80"/>
        <v>0</v>
      </c>
      <c r="O31" s="93">
        <f t="shared" si="81"/>
        <v>2443.4593650867191</v>
      </c>
      <c r="P31" s="92">
        <f t="shared" si="82"/>
        <v>2687.805301595391</v>
      </c>
      <c r="Q31" s="94">
        <f t="shared" si="83"/>
        <v>12.904661074548939</v>
      </c>
      <c r="R31" s="94">
        <f t="shared" si="84"/>
        <v>6.7195132539884774</v>
      </c>
      <c r="S31" s="301"/>
      <c r="T31" s="297"/>
      <c r="U31" s="297"/>
      <c r="V31" s="297"/>
      <c r="W31" s="297"/>
      <c r="X31" s="317"/>
      <c r="Y31" s="91">
        <v>24</v>
      </c>
      <c r="Z31" s="91">
        <v>55</v>
      </c>
      <c r="AA31" s="91">
        <v>106</v>
      </c>
      <c r="AB31" s="91">
        <f t="shared" si="85"/>
        <v>76</v>
      </c>
      <c r="AC31" s="92">
        <f t="shared" si="64"/>
        <v>15301.752960000002</v>
      </c>
      <c r="AD31" s="92">
        <f t="shared" si="65"/>
        <v>10711.227072000001</v>
      </c>
      <c r="AE31" s="92">
        <f t="shared" si="66"/>
        <v>1733.7587999999998</v>
      </c>
      <c r="AF31" s="92">
        <f t="shared" si="67"/>
        <v>1733.7587999999998</v>
      </c>
      <c r="AG31" s="92">
        <f t="shared" si="68"/>
        <v>252.83982499999996</v>
      </c>
      <c r="AH31" s="92">
        <f t="shared" si="69"/>
        <v>149688.00000000003</v>
      </c>
      <c r="AI31" s="92">
        <f t="shared" si="70"/>
        <v>285</v>
      </c>
      <c r="AJ31" s="92">
        <f t="shared" si="71"/>
        <v>193.51868973839996</v>
      </c>
      <c r="AK31" s="92">
        <f t="shared" si="86"/>
        <v>150419.35851473844</v>
      </c>
      <c r="AL31" s="92">
        <f t="shared" si="87"/>
        <v>150419.35851473844</v>
      </c>
      <c r="AM31" s="92">
        <f t="shared" si="72"/>
        <v>215</v>
      </c>
      <c r="AN31" s="92">
        <f t="shared" si="73"/>
        <v>121.84510094639998</v>
      </c>
      <c r="AO31" s="92">
        <f t="shared" si="88"/>
        <v>336.84510094639995</v>
      </c>
      <c r="AP31" s="92">
        <f t="shared" si="89"/>
        <v>150756.20361568485</v>
      </c>
      <c r="AQ31" s="92">
        <f t="shared" si="74"/>
        <v>1419.1370580815997</v>
      </c>
      <c r="AR31" s="92">
        <f t="shared" si="75"/>
        <v>2680.5922208207994</v>
      </c>
      <c r="AS31" s="92">
        <f t="shared" si="90"/>
        <v>154855.93289458725</v>
      </c>
      <c r="AT31" s="92">
        <f t="shared" si="91"/>
        <v>12.904661074548939</v>
      </c>
      <c r="AU31" s="92">
        <v>49</v>
      </c>
      <c r="AV31" s="92">
        <f t="shared" si="92"/>
        <v>2443.4593650867191</v>
      </c>
      <c r="AW31" s="282">
        <v>100000</v>
      </c>
      <c r="AX31" s="282">
        <f t="shared" si="93"/>
        <v>0</v>
      </c>
      <c r="AY31" s="282">
        <f t="shared" si="94"/>
        <v>12</v>
      </c>
      <c r="AZ31" s="282">
        <f t="shared" si="95"/>
        <v>0</v>
      </c>
      <c r="BA31" s="282">
        <f t="shared" si="96"/>
        <v>0</v>
      </c>
      <c r="BB31" s="303"/>
      <c r="BC31" s="303"/>
      <c r="BD31" s="303"/>
      <c r="BE31" s="303"/>
      <c r="BF31" s="303"/>
      <c r="BG31" s="325"/>
      <c r="BH31" s="325"/>
      <c r="BI31" s="325"/>
      <c r="BJ31" s="336"/>
      <c r="BK31" s="115"/>
    </row>
    <row r="32" spans="1:63" s="95" customFormat="1">
      <c r="A32" s="90">
        <v>9</v>
      </c>
      <c r="B32" s="300"/>
      <c r="C32" s="106" t="s">
        <v>104</v>
      </c>
      <c r="D32" s="91">
        <v>2.4</v>
      </c>
      <c r="E32" s="94">
        <v>2</v>
      </c>
      <c r="F32" s="91">
        <v>9.1859999999999999</v>
      </c>
      <c r="G32" s="104">
        <f t="shared" si="76"/>
        <v>4.8</v>
      </c>
      <c r="H32" s="104">
        <f t="shared" si="77"/>
        <v>474.43852799999996</v>
      </c>
      <c r="I32" s="91">
        <v>30</v>
      </c>
      <c r="J32" s="92">
        <f t="shared" si="78"/>
        <v>237.21926399999998</v>
      </c>
      <c r="K32" s="91">
        <v>0</v>
      </c>
      <c r="L32" s="91">
        <v>0</v>
      </c>
      <c r="M32" s="92">
        <f t="shared" si="79"/>
        <v>23.721926400000001</v>
      </c>
      <c r="N32" s="92">
        <f>J32*1</f>
        <v>237.21926399999998</v>
      </c>
      <c r="O32" s="93">
        <f t="shared" si="81"/>
        <v>17.948722356647171</v>
      </c>
      <c r="P32" s="92">
        <f t="shared" si="82"/>
        <v>260.94119039999998</v>
      </c>
      <c r="Q32" s="94">
        <f t="shared" si="83"/>
        <v>1.9364092794368002</v>
      </c>
      <c r="R32" s="94">
        <f t="shared" si="84"/>
        <v>0.65235297599999997</v>
      </c>
      <c r="S32" s="301"/>
      <c r="T32" s="297"/>
      <c r="U32" s="297"/>
      <c r="V32" s="297"/>
      <c r="W32" s="297"/>
      <c r="X32" s="317"/>
      <c r="Y32" s="91">
        <v>24</v>
      </c>
      <c r="Z32" s="91" t="s">
        <v>106</v>
      </c>
      <c r="AA32" s="91">
        <v>106</v>
      </c>
      <c r="AB32" s="91">
        <f t="shared" si="85"/>
        <v>76</v>
      </c>
      <c r="AC32" s="92">
        <f t="shared" si="64"/>
        <v>10437.647616</v>
      </c>
      <c r="AD32" s="92">
        <f t="shared" si="65"/>
        <v>7306.3533312000018</v>
      </c>
      <c r="AE32" s="92">
        <f t="shared" si="66"/>
        <v>619.77599999999995</v>
      </c>
      <c r="AF32" s="92">
        <f t="shared" si="67"/>
        <v>619.77599999999995</v>
      </c>
      <c r="AG32" s="92">
        <f t="shared" si="68"/>
        <v>90.384</v>
      </c>
      <c r="AH32" s="92">
        <f t="shared" si="69"/>
        <v>0</v>
      </c>
      <c r="AI32" s="92">
        <f t="shared" si="70"/>
        <v>0</v>
      </c>
      <c r="AJ32" s="92">
        <f t="shared" si="71"/>
        <v>1014.5393482751999</v>
      </c>
      <c r="AK32" s="92">
        <f t="shared" si="86"/>
        <v>1104.9233482751999</v>
      </c>
      <c r="AL32" s="92">
        <f t="shared" si="87"/>
        <v>1104.9233482751999</v>
      </c>
      <c r="AM32" s="92">
        <f t="shared" si="72"/>
        <v>0</v>
      </c>
      <c r="AN32" s="92">
        <f t="shared" si="73"/>
        <v>638.78403409920008</v>
      </c>
      <c r="AO32" s="92">
        <f t="shared" si="88"/>
        <v>638.78403409920008</v>
      </c>
      <c r="AP32" s="92">
        <f t="shared" si="89"/>
        <v>1743.7073823743999</v>
      </c>
      <c r="AQ32" s="92">
        <f t="shared" si="74"/>
        <v>7439.9552206847993</v>
      </c>
      <c r="AR32" s="92">
        <f t="shared" si="75"/>
        <v>14053.2487501824</v>
      </c>
      <c r="AS32" s="92">
        <f t="shared" si="90"/>
        <v>23236.911353241601</v>
      </c>
      <c r="AT32" s="92">
        <f t="shared" si="91"/>
        <v>1.9364092794368002</v>
      </c>
      <c r="AU32" s="92">
        <v>49</v>
      </c>
      <c r="AV32" s="92">
        <f t="shared" si="92"/>
        <v>17.948722356647171</v>
      </c>
      <c r="AW32" s="282">
        <v>100000</v>
      </c>
      <c r="AX32" s="282">
        <f t="shared" si="93"/>
        <v>0</v>
      </c>
      <c r="AY32" s="282">
        <f t="shared" si="94"/>
        <v>2</v>
      </c>
      <c r="AZ32" s="282">
        <f t="shared" si="95"/>
        <v>0</v>
      </c>
      <c r="BA32" s="282">
        <f t="shared" si="96"/>
        <v>0</v>
      </c>
      <c r="BB32" s="303"/>
      <c r="BC32" s="303"/>
      <c r="BD32" s="303"/>
      <c r="BE32" s="303"/>
      <c r="BF32" s="303"/>
      <c r="BG32" s="325"/>
      <c r="BH32" s="325"/>
      <c r="BI32" s="325"/>
      <c r="BJ32" s="336"/>
      <c r="BK32" s="115"/>
    </row>
    <row r="33" spans="1:63" s="100" customFormat="1" ht="15.75" thickBot="1">
      <c r="A33" s="90">
        <v>10</v>
      </c>
      <c r="B33" s="300"/>
      <c r="C33" s="106" t="s">
        <v>105</v>
      </c>
      <c r="D33" s="91">
        <v>2.4</v>
      </c>
      <c r="E33" s="94">
        <v>2.2999999999999998</v>
      </c>
      <c r="F33" s="91">
        <v>9.1859999999999999</v>
      </c>
      <c r="G33" s="104">
        <f t="shared" si="76"/>
        <v>5.52</v>
      </c>
      <c r="H33" s="104">
        <f t="shared" si="77"/>
        <v>545.60430719999999</v>
      </c>
      <c r="I33" s="91">
        <v>30</v>
      </c>
      <c r="J33" s="92">
        <f t="shared" si="78"/>
        <v>272.8021536</v>
      </c>
      <c r="K33" s="91">
        <v>0</v>
      </c>
      <c r="L33" s="91">
        <v>0</v>
      </c>
      <c r="M33" s="92">
        <f t="shared" si="79"/>
        <v>27.28021536</v>
      </c>
      <c r="N33" s="92">
        <f>J33*1</f>
        <v>272.8021536</v>
      </c>
      <c r="O33" s="93">
        <f t="shared" si="81"/>
        <v>20.64103071014425</v>
      </c>
      <c r="P33" s="92">
        <f t="shared" si="82"/>
        <v>300.08236896</v>
      </c>
      <c r="Q33" s="94">
        <f t="shared" si="83"/>
        <v>2.2268706713523199</v>
      </c>
      <c r="R33" s="94">
        <f t="shared" si="84"/>
        <v>0.75020592239999995</v>
      </c>
      <c r="S33" s="301"/>
      <c r="T33" s="298"/>
      <c r="U33" s="298"/>
      <c r="V33" s="298"/>
      <c r="W33" s="298"/>
      <c r="X33" s="318"/>
      <c r="Y33" s="91">
        <v>24</v>
      </c>
      <c r="Z33" s="91" t="s">
        <v>106</v>
      </c>
      <c r="AA33" s="91">
        <v>106</v>
      </c>
      <c r="AB33" s="91">
        <f t="shared" si="85"/>
        <v>76</v>
      </c>
      <c r="AC33" s="92">
        <f t="shared" si="64"/>
        <v>11149.305407999998</v>
      </c>
      <c r="AD33" s="92">
        <f t="shared" si="65"/>
        <v>7804.5137855999992</v>
      </c>
      <c r="AE33" s="92">
        <f t="shared" si="66"/>
        <v>712.74239999999986</v>
      </c>
      <c r="AF33" s="92">
        <f t="shared" si="67"/>
        <v>712.74239999999986</v>
      </c>
      <c r="AG33" s="92">
        <f t="shared" si="68"/>
        <v>103.94159999999999</v>
      </c>
      <c r="AH33" s="92">
        <f t="shared" si="69"/>
        <v>0</v>
      </c>
      <c r="AI33" s="92">
        <f t="shared" si="70"/>
        <v>0</v>
      </c>
      <c r="AJ33" s="92">
        <f t="shared" si="71"/>
        <v>1166.7202505164801</v>
      </c>
      <c r="AK33" s="92">
        <f t="shared" si="86"/>
        <v>1270.6618505164802</v>
      </c>
      <c r="AL33" s="92">
        <f t="shared" si="87"/>
        <v>1270.6618505164802</v>
      </c>
      <c r="AM33" s="92">
        <f t="shared" si="72"/>
        <v>0</v>
      </c>
      <c r="AN33" s="92">
        <f t="shared" si="73"/>
        <v>734.60163921408002</v>
      </c>
      <c r="AO33" s="92">
        <f t="shared" si="88"/>
        <v>734.60163921408002</v>
      </c>
      <c r="AP33" s="92">
        <f t="shared" si="89"/>
        <v>2005.2634897305602</v>
      </c>
      <c r="AQ33" s="92">
        <f t="shared" si="74"/>
        <v>8555.9485037875202</v>
      </c>
      <c r="AR33" s="92">
        <f t="shared" si="75"/>
        <v>16161.236062709759</v>
      </c>
      <c r="AS33" s="92">
        <f t="shared" si="90"/>
        <v>26722.44805622784</v>
      </c>
      <c r="AT33" s="92">
        <f t="shared" si="91"/>
        <v>2.2268706713523199</v>
      </c>
      <c r="AU33" s="92">
        <v>49</v>
      </c>
      <c r="AV33" s="92">
        <f t="shared" si="92"/>
        <v>20.64103071014425</v>
      </c>
      <c r="AW33" s="282">
        <v>100000</v>
      </c>
      <c r="AX33" s="282">
        <f t="shared" si="93"/>
        <v>0</v>
      </c>
      <c r="AY33" s="282">
        <f t="shared" si="94"/>
        <v>2</v>
      </c>
      <c r="AZ33" s="282">
        <f t="shared" si="95"/>
        <v>0</v>
      </c>
      <c r="BA33" s="282">
        <f t="shared" si="96"/>
        <v>0</v>
      </c>
      <c r="BB33" s="303"/>
      <c r="BC33" s="303"/>
      <c r="BD33" s="303"/>
      <c r="BE33" s="303"/>
      <c r="BF33" s="303"/>
      <c r="BG33" s="326"/>
      <c r="BH33" s="326"/>
      <c r="BI33" s="326"/>
      <c r="BJ33" s="336"/>
      <c r="BK33" s="116"/>
    </row>
    <row r="34" spans="1:63" s="101" customFormat="1" ht="16.5" customHeight="1" thickBot="1">
      <c r="A34" s="96"/>
      <c r="B34" s="97"/>
      <c r="C34" s="139"/>
      <c r="D34" s="97"/>
      <c r="E34" s="99"/>
      <c r="F34" s="97"/>
      <c r="G34" s="173">
        <f>SUM(G28:G33)</f>
        <v>125.4576</v>
      </c>
      <c r="H34" s="173">
        <f>SUM(H28:H33)</f>
        <v>15427.83564334</v>
      </c>
      <c r="I34" s="177"/>
      <c r="J34" s="175">
        <f t="shared" ref="J34:R34" si="97">SUM(J28:J33)</f>
        <v>7713.9178216700002</v>
      </c>
      <c r="K34" s="174">
        <f t="shared" si="97"/>
        <v>4</v>
      </c>
      <c r="L34" s="174">
        <f t="shared" si="97"/>
        <v>21</v>
      </c>
      <c r="M34" s="175">
        <f t="shared" si="97"/>
        <v>771.39178216699997</v>
      </c>
      <c r="N34" s="175">
        <f t="shared" si="97"/>
        <v>510.02141759999995</v>
      </c>
      <c r="O34" s="175">
        <f t="shared" si="97"/>
        <v>17158.877536203607</v>
      </c>
      <c r="P34" s="175">
        <f t="shared" si="97"/>
        <v>19801.759896699416</v>
      </c>
      <c r="Q34" s="176">
        <f t="shared" si="97"/>
        <v>97.153736923344354</v>
      </c>
      <c r="R34" s="176">
        <f t="shared" si="97"/>
        <v>49.504399741748529</v>
      </c>
      <c r="S34" s="163"/>
      <c r="T34" s="163"/>
      <c r="U34" s="163"/>
      <c r="V34" s="163"/>
      <c r="W34" s="163"/>
      <c r="X34" s="163"/>
      <c r="Y34" s="97"/>
      <c r="Z34" s="97"/>
      <c r="AA34" s="97"/>
      <c r="AB34" s="97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283"/>
      <c r="AX34" s="283"/>
      <c r="AY34" s="283"/>
      <c r="AZ34" s="283"/>
      <c r="BA34" s="283"/>
      <c r="BB34" s="167"/>
      <c r="BC34" s="122"/>
      <c r="BJ34" s="254"/>
      <c r="BK34" s="122"/>
    </row>
    <row r="35" spans="1:63" s="193" customFormat="1" ht="24" thickBot="1">
      <c r="A35" s="183"/>
      <c r="B35" s="184">
        <v>3</v>
      </c>
      <c r="C35" s="185" t="s">
        <v>98</v>
      </c>
      <c r="D35" s="186"/>
      <c r="E35" s="187"/>
      <c r="F35" s="186"/>
      <c r="G35" s="188"/>
      <c r="H35" s="188"/>
      <c r="I35" s="186"/>
      <c r="J35" s="189"/>
      <c r="K35" s="186"/>
      <c r="L35" s="186"/>
      <c r="M35" s="189"/>
      <c r="N35" s="189"/>
      <c r="O35" s="190"/>
      <c r="P35" s="189"/>
      <c r="Q35" s="187"/>
      <c r="R35" s="187"/>
      <c r="S35" s="196"/>
      <c r="T35" s="196"/>
      <c r="U35" s="196"/>
      <c r="V35" s="196"/>
      <c r="W35" s="196"/>
      <c r="X35" s="196"/>
      <c r="Y35" s="186"/>
      <c r="Z35" s="186"/>
      <c r="AA35" s="186"/>
      <c r="AB35" s="186"/>
      <c r="AC35" s="189"/>
      <c r="AD35" s="189"/>
      <c r="AE35" s="189"/>
      <c r="AF35" s="189"/>
      <c r="AG35" s="189"/>
      <c r="AH35" s="189"/>
      <c r="AI35" s="189"/>
      <c r="AJ35" s="189"/>
      <c r="AK35" s="189"/>
      <c r="AL35" s="189"/>
      <c r="AM35" s="189"/>
      <c r="AN35" s="189"/>
      <c r="AO35" s="189"/>
      <c r="AP35" s="189"/>
      <c r="AQ35" s="189"/>
      <c r="AR35" s="189"/>
      <c r="AS35" s="189"/>
      <c r="AT35" s="189"/>
      <c r="AU35" s="189"/>
      <c r="AV35" s="189"/>
      <c r="AW35" s="281"/>
      <c r="AX35" s="281"/>
      <c r="AY35" s="281"/>
      <c r="AZ35" s="281"/>
      <c r="BA35" s="281"/>
      <c r="BB35" s="197"/>
      <c r="BC35" s="192"/>
      <c r="BJ35" s="255"/>
      <c r="BK35" s="192"/>
    </row>
    <row r="36" spans="1:63" s="89" customFormat="1">
      <c r="A36" s="90">
        <v>11</v>
      </c>
      <c r="B36" s="300" t="s">
        <v>110</v>
      </c>
      <c r="C36" s="106" t="s">
        <v>111</v>
      </c>
      <c r="D36" s="91">
        <v>2.4700000000000002</v>
      </c>
      <c r="E36" s="94">
        <v>17.420000000000002</v>
      </c>
      <c r="F36" s="91">
        <v>9.1859999999999999</v>
      </c>
      <c r="G36" s="104">
        <f>D36*E36</f>
        <v>43.027400000000007</v>
      </c>
      <c r="H36" s="104">
        <f>D36*E36*F36*10.76</f>
        <v>4252.8867332640002</v>
      </c>
      <c r="I36" s="91">
        <v>30</v>
      </c>
      <c r="J36" s="92">
        <f>H36*I36/60</f>
        <v>2126.4433666320001</v>
      </c>
      <c r="K36" s="91">
        <v>0</v>
      </c>
      <c r="L36" s="91">
        <v>0</v>
      </c>
      <c r="M36" s="92">
        <f>J36*0.1</f>
        <v>212.64433666320002</v>
      </c>
      <c r="N36" s="92">
        <f>J36*0</f>
        <v>0</v>
      </c>
      <c r="O36" s="93">
        <f>AV36</f>
        <v>26.591408754816793</v>
      </c>
      <c r="P36" s="92">
        <f>MAX(J36,O36)*1.1</f>
        <v>2339.0877032952003</v>
      </c>
      <c r="Q36" s="94">
        <f>AT36</f>
        <v>1.6393840984477079</v>
      </c>
      <c r="R36" s="94">
        <f>P36/400</f>
        <v>5.8477192582380004</v>
      </c>
      <c r="S36" s="301">
        <f>CEILING(MAX(SUM(Q36:Q38),SUM(R36:R38)),0.5)</f>
        <v>6</v>
      </c>
      <c r="T36" s="304">
        <f>S36*2.4</f>
        <v>14.399999999999999</v>
      </c>
      <c r="U36" s="304">
        <f>T36*0.0630902</f>
        <v>0.9084988799999999</v>
      </c>
      <c r="V36" s="304">
        <f>0.26*SQRT(T36)</f>
        <v>0.98663062997253437</v>
      </c>
      <c r="W36" s="304">
        <f>CEILING(V36,0.5)</f>
        <v>1</v>
      </c>
      <c r="X36" s="304" t="s">
        <v>101</v>
      </c>
      <c r="Y36" s="91">
        <v>24</v>
      </c>
      <c r="Z36" s="91">
        <v>55</v>
      </c>
      <c r="AA36" s="91">
        <v>106</v>
      </c>
      <c r="AB36" s="91">
        <f>CEILING((9*Y36/5)+32,1)</f>
        <v>76</v>
      </c>
      <c r="AC36" s="92">
        <f>(D36+E36)*2*10.76*F36*0.4*(AA36-AB36)</f>
        <v>47182.911609600007</v>
      </c>
      <c r="AD36" s="92">
        <f>(D36+E36)*2*10.76*F36*0.28*(AA36-AB36)</f>
        <v>33028.038126720006</v>
      </c>
      <c r="AE36" s="92">
        <f>D36*E36*0.4*10.76*(AA36-AB36)</f>
        <v>5555.6978880000006</v>
      </c>
      <c r="AF36" s="92">
        <f>D36*E36*0.4*10.76*(AA36-AB36)</f>
        <v>5555.6978880000006</v>
      </c>
      <c r="AG36" s="92">
        <f>D36*E36*1.75*10.76</f>
        <v>810.20594200000016</v>
      </c>
      <c r="AH36" s="92">
        <f>L36*(3.5/2)*1.08*0.88*(AA36-AB36)*1000</f>
        <v>0</v>
      </c>
      <c r="AI36" s="92">
        <f>K36*285</f>
        <v>0</v>
      </c>
      <c r="AJ36" s="92">
        <f>(M36+N36)*0.12*1.08*(AA36-AB36)</f>
        <v>826.76118094652168</v>
      </c>
      <c r="AK36" s="92">
        <f>(AC36+AD36+AE36+AF36)*0+AG36+AH36+AI36+AJ36</f>
        <v>1636.9671229465218</v>
      </c>
      <c r="AL36" s="92">
        <f>AK36*1</f>
        <v>1636.9671229465218</v>
      </c>
      <c r="AM36" s="92">
        <f>K36*215</f>
        <v>0</v>
      </c>
      <c r="AN36" s="92">
        <f>(M36+N36)*0.68*0.12*(AA36-AB36)</f>
        <v>520.5533361515138</v>
      </c>
      <c r="AO36" s="92">
        <f>(AM36+AN36)*1</f>
        <v>520.5533361515138</v>
      </c>
      <c r="AP36" s="92">
        <f>AO36+AL36</f>
        <v>2157.5204590980356</v>
      </c>
      <c r="AQ36" s="92">
        <f>(M36+N36)*0.88*1.08*(AA36-AB36)</f>
        <v>6062.915326941159</v>
      </c>
      <c r="AR36" s="92">
        <f>(M36+N36)*0.88*0.68*90</f>
        <v>11452.173395333302</v>
      </c>
      <c r="AS36" s="92">
        <f>AL36+AO36+AQ36+AR36</f>
        <v>19672.609181372496</v>
      </c>
      <c r="AT36" s="92">
        <f>AS36/12000</f>
        <v>1.6393840984477079</v>
      </c>
      <c r="AU36" s="92">
        <v>49</v>
      </c>
      <c r="AV36" s="92">
        <f>AL36/(1.08*(AA36-AU36))</f>
        <v>26.591408754816793</v>
      </c>
      <c r="AW36" s="282">
        <v>100000</v>
      </c>
      <c r="AX36" s="282">
        <f t="shared" ref="AX36" si="98">CEILING(IF(AW36=20,P36*1/350,(IF(AWB36=5,P36*1/300,0))),2)</f>
        <v>0</v>
      </c>
      <c r="AY36" s="282">
        <f>CEILING(IF(AW36=100000,P36*1/250,0),2)</f>
        <v>10</v>
      </c>
      <c r="AZ36" s="282">
        <f>CEILING(IF(AW36=10000,P36*1/225,(IF(AWB36=10000,P36*1/225,0))),2)</f>
        <v>0</v>
      </c>
      <c r="BA36" s="282">
        <f t="shared" ref="BA36" si="99">CEILING(IF(AW36=1000,P36*1/100,(IF(AWB36=100,P36*1/100,0))),2)</f>
        <v>0</v>
      </c>
      <c r="BB36" s="303">
        <f>CEILING(SUM(P36:P38),50)</f>
        <v>2350</v>
      </c>
      <c r="BC36" s="303">
        <v>150</v>
      </c>
      <c r="BD36" s="327"/>
      <c r="BE36" s="303">
        <v>5</v>
      </c>
      <c r="BF36" s="303">
        <f>CEILING(N39*1.1, 25)</f>
        <v>0</v>
      </c>
      <c r="BG36" s="303">
        <v>0</v>
      </c>
      <c r="BH36" s="303">
        <v>0</v>
      </c>
      <c r="BI36" s="303">
        <v>0</v>
      </c>
      <c r="BJ36" s="336">
        <f>BE36*(750/1000)+S36*0.8+BI36*(750/1000)</f>
        <v>8.5500000000000007</v>
      </c>
      <c r="BK36" s="114">
        <f>U36*3.6</f>
        <v>3.2705959679999999</v>
      </c>
    </row>
    <row r="37" spans="1:63" s="95" customFormat="1">
      <c r="A37" s="90"/>
      <c r="B37" s="300"/>
      <c r="C37" s="106"/>
      <c r="D37" s="91"/>
      <c r="E37" s="94"/>
      <c r="F37" s="91"/>
      <c r="G37" s="104"/>
      <c r="H37" s="104"/>
      <c r="I37" s="91"/>
      <c r="J37" s="92"/>
      <c r="K37" s="91"/>
      <c r="L37" s="91"/>
      <c r="M37" s="92"/>
      <c r="N37" s="92"/>
      <c r="O37" s="93"/>
      <c r="P37" s="92"/>
      <c r="Q37" s="94"/>
      <c r="R37" s="94"/>
      <c r="S37" s="301"/>
      <c r="T37" s="297"/>
      <c r="U37" s="297"/>
      <c r="V37" s="297"/>
      <c r="W37" s="297"/>
      <c r="X37" s="297"/>
      <c r="Y37" s="91"/>
      <c r="Z37" s="91"/>
      <c r="AA37" s="91"/>
      <c r="AB37" s="91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  <c r="AO37" s="92"/>
      <c r="AP37" s="92"/>
      <c r="AQ37" s="92"/>
      <c r="AR37" s="92"/>
      <c r="AS37" s="92"/>
      <c r="AT37" s="92"/>
      <c r="AU37" s="92"/>
      <c r="AV37" s="92"/>
      <c r="AW37" s="282"/>
      <c r="AX37" s="282"/>
      <c r="AY37" s="282"/>
      <c r="AZ37" s="282"/>
      <c r="BA37" s="282"/>
      <c r="BB37" s="303"/>
      <c r="BC37" s="303"/>
      <c r="BD37" s="327"/>
      <c r="BE37" s="303"/>
      <c r="BF37" s="303"/>
      <c r="BG37" s="303"/>
      <c r="BH37" s="303"/>
      <c r="BI37" s="303"/>
      <c r="BJ37" s="336"/>
      <c r="BK37" s="115"/>
    </row>
    <row r="38" spans="1:63" s="95" customFormat="1" ht="15.75" thickBot="1">
      <c r="A38" s="90"/>
      <c r="B38" s="300"/>
      <c r="C38" s="106"/>
      <c r="D38" s="91"/>
      <c r="E38" s="94"/>
      <c r="F38" s="91"/>
      <c r="G38" s="104"/>
      <c r="H38" s="104"/>
      <c r="I38" s="91"/>
      <c r="J38" s="92"/>
      <c r="K38" s="91"/>
      <c r="L38" s="91"/>
      <c r="M38" s="92"/>
      <c r="N38" s="92"/>
      <c r="O38" s="93"/>
      <c r="P38" s="92"/>
      <c r="Q38" s="94"/>
      <c r="R38" s="94"/>
      <c r="S38" s="301"/>
      <c r="T38" s="298"/>
      <c r="U38" s="298"/>
      <c r="V38" s="298"/>
      <c r="W38" s="298"/>
      <c r="X38" s="298"/>
      <c r="Y38" s="91"/>
      <c r="Z38" s="91"/>
      <c r="AA38" s="91"/>
      <c r="AB38" s="91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  <c r="AP38" s="92"/>
      <c r="AQ38" s="92"/>
      <c r="AR38" s="92"/>
      <c r="AS38" s="92"/>
      <c r="AT38" s="92"/>
      <c r="AU38" s="92"/>
      <c r="AV38" s="92"/>
      <c r="AW38" s="282"/>
      <c r="AX38" s="282"/>
      <c r="AY38" s="282"/>
      <c r="AZ38" s="282"/>
      <c r="BA38" s="282"/>
      <c r="BB38" s="303"/>
      <c r="BC38" s="303"/>
      <c r="BD38" s="327"/>
      <c r="BE38" s="303"/>
      <c r="BF38" s="303"/>
      <c r="BG38" s="303"/>
      <c r="BH38" s="303"/>
      <c r="BI38" s="303"/>
      <c r="BJ38" s="336"/>
      <c r="BK38" s="115"/>
    </row>
    <row r="39" spans="1:63" s="101" customFormat="1" ht="16.5" customHeight="1" thickBot="1">
      <c r="A39" s="96"/>
      <c r="B39" s="97"/>
      <c r="C39" s="139"/>
      <c r="D39" s="97"/>
      <c r="E39" s="99"/>
      <c r="F39" s="97"/>
      <c r="G39" s="173">
        <f>SUM(G36:G38)</f>
        <v>43.027400000000007</v>
      </c>
      <c r="H39" s="173">
        <f>SUM(H36:H38)</f>
        <v>4252.8867332640002</v>
      </c>
      <c r="I39" s="177"/>
      <c r="J39" s="175">
        <f t="shared" ref="J39:R39" si="100">SUM(J36:J38)</f>
        <v>2126.4433666320001</v>
      </c>
      <c r="K39" s="174">
        <f t="shared" si="100"/>
        <v>0</v>
      </c>
      <c r="L39" s="174">
        <f t="shared" si="100"/>
        <v>0</v>
      </c>
      <c r="M39" s="175">
        <f t="shared" si="100"/>
        <v>212.64433666320002</v>
      </c>
      <c r="N39" s="175">
        <f t="shared" si="100"/>
        <v>0</v>
      </c>
      <c r="O39" s="175">
        <f t="shared" si="100"/>
        <v>26.591408754816793</v>
      </c>
      <c r="P39" s="175">
        <f t="shared" si="100"/>
        <v>2339.0877032952003</v>
      </c>
      <c r="Q39" s="176">
        <f t="shared" si="100"/>
        <v>1.6393840984477079</v>
      </c>
      <c r="R39" s="176">
        <f t="shared" si="100"/>
        <v>5.8477192582380004</v>
      </c>
      <c r="S39" s="163"/>
      <c r="T39" s="163"/>
      <c r="U39" s="163"/>
      <c r="V39" s="163"/>
      <c r="W39" s="163"/>
      <c r="X39" s="163"/>
      <c r="Y39" s="97"/>
      <c r="Z39" s="97"/>
      <c r="AA39" s="97"/>
      <c r="AB39" s="97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  <c r="AV39" s="98"/>
      <c r="AW39" s="283"/>
      <c r="AX39" s="283"/>
      <c r="AY39" s="283"/>
      <c r="AZ39" s="283"/>
      <c r="BA39" s="283"/>
      <c r="BB39" s="167"/>
      <c r="BC39" s="122"/>
      <c r="BJ39" s="254"/>
      <c r="BK39" s="122"/>
    </row>
    <row r="40" spans="1:63" s="193" customFormat="1" ht="24" thickBot="1">
      <c r="A40" s="183"/>
      <c r="B40" s="184">
        <v>4</v>
      </c>
      <c r="C40" s="185" t="s">
        <v>98</v>
      </c>
      <c r="D40" s="186"/>
      <c r="E40" s="187"/>
      <c r="F40" s="186"/>
      <c r="G40" s="188"/>
      <c r="H40" s="188"/>
      <c r="I40" s="186"/>
      <c r="J40" s="189"/>
      <c r="K40" s="186"/>
      <c r="L40" s="186"/>
      <c r="M40" s="189"/>
      <c r="N40" s="189"/>
      <c r="O40" s="190"/>
      <c r="P40" s="189"/>
      <c r="Q40" s="187"/>
      <c r="R40" s="187"/>
      <c r="S40" s="196"/>
      <c r="T40" s="196"/>
      <c r="U40" s="196"/>
      <c r="V40" s="196"/>
      <c r="W40" s="196"/>
      <c r="X40" s="196"/>
      <c r="Y40" s="186"/>
      <c r="Z40" s="186"/>
      <c r="AA40" s="186"/>
      <c r="AB40" s="186"/>
      <c r="AC40" s="189"/>
      <c r="AD40" s="189"/>
      <c r="AE40" s="189"/>
      <c r="AF40" s="189"/>
      <c r="AG40" s="189"/>
      <c r="AH40" s="189"/>
      <c r="AI40" s="189"/>
      <c r="AJ40" s="189"/>
      <c r="AK40" s="189"/>
      <c r="AL40" s="189"/>
      <c r="AM40" s="189"/>
      <c r="AN40" s="189"/>
      <c r="AO40" s="189"/>
      <c r="AP40" s="189"/>
      <c r="AQ40" s="189"/>
      <c r="AR40" s="189"/>
      <c r="AS40" s="189"/>
      <c r="AT40" s="189"/>
      <c r="AU40" s="189"/>
      <c r="AV40" s="189"/>
      <c r="AW40" s="281"/>
      <c r="AX40" s="281"/>
      <c r="AY40" s="281"/>
      <c r="AZ40" s="281"/>
      <c r="BA40" s="281"/>
      <c r="BB40" s="197"/>
      <c r="BC40" s="192"/>
      <c r="BJ40" s="255"/>
      <c r="BK40" s="192"/>
    </row>
    <row r="41" spans="1:63" s="89" customFormat="1">
      <c r="A41" s="90">
        <v>12</v>
      </c>
      <c r="B41" s="307" t="s">
        <v>112</v>
      </c>
      <c r="C41" s="106" t="s">
        <v>100</v>
      </c>
      <c r="D41" s="91">
        <v>2.4049999999999998</v>
      </c>
      <c r="E41" s="94">
        <v>3.13</v>
      </c>
      <c r="F41" s="91">
        <v>9.1859999999999999</v>
      </c>
      <c r="G41" s="104">
        <f>D41*E41</f>
        <v>7.5276499999999995</v>
      </c>
      <c r="H41" s="104">
        <f>D41*E41*F41*10.76</f>
        <v>744.04316360399991</v>
      </c>
      <c r="I41" s="91">
        <v>40</v>
      </c>
      <c r="J41" s="92">
        <f>H41*I41/60</f>
        <v>496.02877573599994</v>
      </c>
      <c r="K41" s="91">
        <v>0</v>
      </c>
      <c r="L41" s="91">
        <v>0</v>
      </c>
      <c r="M41" s="92">
        <f>J41*0.1</f>
        <v>49.602877573599997</v>
      </c>
      <c r="N41" s="92">
        <f>J41*0</f>
        <v>0</v>
      </c>
      <c r="O41" s="93">
        <f>AV41</f>
        <v>5.4353742284950739</v>
      </c>
      <c r="P41" s="92">
        <f>MAX(J41,O41)*1.1</f>
        <v>545.63165330959998</v>
      </c>
      <c r="Q41" s="94">
        <f>AT41</f>
        <v>0.37847660848238451</v>
      </c>
      <c r="R41" s="94">
        <f>P41/400</f>
        <v>1.3640791332739999</v>
      </c>
      <c r="S41" s="301">
        <f>CEILING(MAX(SUM(Q41:Q44),SUM(R41:R44)),0.5)</f>
        <v>60</v>
      </c>
      <c r="T41" s="304">
        <f>S41*2.4</f>
        <v>144</v>
      </c>
      <c r="U41" s="304">
        <f>T41*0.0630902</f>
        <v>9.0849887999999996</v>
      </c>
      <c r="V41" s="304">
        <f>0.26*SQRT(T41)</f>
        <v>3.12</v>
      </c>
      <c r="W41" s="304">
        <f>CEILING(V41,0.5)</f>
        <v>3.5</v>
      </c>
      <c r="X41" s="304" t="s">
        <v>101</v>
      </c>
      <c r="Y41" s="91">
        <v>24</v>
      </c>
      <c r="Z41" s="91">
        <v>55</v>
      </c>
      <c r="AA41" s="91">
        <v>106</v>
      </c>
      <c r="AB41" s="91">
        <f>CEILING((9*Y41/5)+32,1)</f>
        <v>76</v>
      </c>
      <c r="AC41" s="92">
        <f>(D41+E41)*2*10.76*F41*0.4*(AA41-AB41)</f>
        <v>13130.086262400004</v>
      </c>
      <c r="AD41" s="92">
        <f>(D41+E41)*2*10.76*F41*0.28*(AA41-AB41)</f>
        <v>9191.0603836800019</v>
      </c>
      <c r="AE41" s="92">
        <f>D41*E41*0.4*10.76*(AA41-AB41)</f>
        <v>971.97016800000006</v>
      </c>
      <c r="AF41" s="92">
        <f>D41*E41*0.4*10.76*(AA41-AB41)</f>
        <v>971.97016800000006</v>
      </c>
      <c r="AG41" s="92">
        <f>D41*E41*1.75*10.76</f>
        <v>141.74564949999998</v>
      </c>
      <c r="AH41" s="92">
        <f>L41*(3.5/2)*1.08*0.88*(AA41-AB41)*1000</f>
        <v>0</v>
      </c>
      <c r="AI41" s="92">
        <f>K41*285</f>
        <v>0</v>
      </c>
      <c r="AJ41" s="92">
        <f>(M41+N41)*0.12*1.08*(AA41-AB41)</f>
        <v>192.85598800615679</v>
      </c>
      <c r="AK41" s="92">
        <f>(AC41+AD41+AE41+AF41)*0+AG41+AH41+AI41+AJ41</f>
        <v>334.60163750615675</v>
      </c>
      <c r="AL41" s="92">
        <f>AK41*1</f>
        <v>334.60163750615675</v>
      </c>
      <c r="AM41" s="92">
        <f>K41*215</f>
        <v>0</v>
      </c>
      <c r="AN41" s="92">
        <f>(M41+N41)*0.68*0.12*(AA41-AB41)</f>
        <v>121.42784430017281</v>
      </c>
      <c r="AO41" s="92">
        <f>(AM41+AN41)*1</f>
        <v>121.42784430017281</v>
      </c>
      <c r="AP41" s="92">
        <f>AO41+AL41</f>
        <v>456.02948180632956</v>
      </c>
      <c r="AQ41" s="92">
        <f>(M41+N41)*0.88*1.08*(AA41-AB41)</f>
        <v>1414.2772453784833</v>
      </c>
      <c r="AR41" s="92">
        <f>(M41+N41)*0.88*0.68*90</f>
        <v>2671.4125746038012</v>
      </c>
      <c r="AS41" s="92">
        <f>AL41+AO41+AQ41+AR41</f>
        <v>4541.7193017886138</v>
      </c>
      <c r="AT41" s="92">
        <f>AS41/12000</f>
        <v>0.37847660848238451</v>
      </c>
      <c r="AU41" s="92">
        <v>49</v>
      </c>
      <c r="AV41" s="92">
        <f>AL41/(1.08*(AA41-AU41))</f>
        <v>5.4353742284950739</v>
      </c>
      <c r="AW41" s="282">
        <v>100000</v>
      </c>
      <c r="AX41" s="282">
        <f t="shared" ref="AX41:AX44" si="101">CEILING(IF(AW41=20,P41*1/350,(IF(AWB41=5,P41*1/300,0))),2)</f>
        <v>0</v>
      </c>
      <c r="AY41" s="282">
        <f>CEILING(IF(AW41=100000,P41*1/250,0),2)</f>
        <v>4</v>
      </c>
      <c r="AZ41" s="282">
        <f>CEILING(IF(AW41=10000,P41*1/225,(IF(AWB41=10000,P41*1/225,0))),2)</f>
        <v>0</v>
      </c>
      <c r="BA41" s="282">
        <f t="shared" ref="BA41:BA44" si="102">CEILING(IF(AW41=1000,P41*1/100,(IF(AWB41=100,P41*1/100,0))),2)</f>
        <v>0</v>
      </c>
      <c r="BB41" s="303">
        <f>CEILING(SUM(P41:P44),50)</f>
        <v>12100</v>
      </c>
      <c r="BC41" s="303">
        <v>150</v>
      </c>
      <c r="BD41" s="327"/>
      <c r="BE41" s="303">
        <v>20</v>
      </c>
      <c r="BF41" s="303">
        <f>CEILING(N45*1.1, 25)</f>
        <v>550</v>
      </c>
      <c r="BG41" s="303">
        <v>75</v>
      </c>
      <c r="BH41" s="303"/>
      <c r="BI41" s="303">
        <v>1</v>
      </c>
      <c r="BJ41" s="336">
        <f>BE41*(750/1000)+S41*0.8+BI41*(750/1000)</f>
        <v>63.75</v>
      </c>
      <c r="BK41" s="114">
        <f>U41*3.6</f>
        <v>32.705959679999999</v>
      </c>
    </row>
    <row r="42" spans="1:63" s="95" customFormat="1">
      <c r="A42" s="90">
        <v>13</v>
      </c>
      <c r="B42" s="307"/>
      <c r="C42" s="106" t="s">
        <v>113</v>
      </c>
      <c r="D42" s="91">
        <v>12.145</v>
      </c>
      <c r="E42" s="94">
        <v>7.49</v>
      </c>
      <c r="F42" s="91">
        <v>11.483000000000001</v>
      </c>
      <c r="G42" s="104">
        <f t="shared" ref="G42:G44" si="103">D42*E42</f>
        <v>90.966049999999996</v>
      </c>
      <c r="H42" s="104">
        <f t="shared" ref="H42:H44" si="104">D42*E42*F42*10.76</f>
        <v>11239.499517134</v>
      </c>
      <c r="I42" s="91">
        <v>30</v>
      </c>
      <c r="J42" s="92">
        <f t="shared" ref="J42:J44" si="105">H42*I42/60</f>
        <v>5619.7497585669998</v>
      </c>
      <c r="K42" s="91">
        <v>4</v>
      </c>
      <c r="L42" s="91">
        <v>12.2</v>
      </c>
      <c r="M42" s="92">
        <f t="shared" ref="M42:M44" si="106">J42*0.1</f>
        <v>561.97497585669998</v>
      </c>
      <c r="N42" s="92">
        <f t="shared" ref="N42" si="107">J42*0</f>
        <v>0</v>
      </c>
      <c r="O42" s="93">
        <f t="shared" ref="O42:O44" si="108">AV42</f>
        <v>9970.2574630869203</v>
      </c>
      <c r="P42" s="92">
        <f t="shared" ref="P42:P44" si="109">MAX(J42,O42)*1.1</f>
        <v>10967.283209395613</v>
      </c>
      <c r="Q42" s="94">
        <f t="shared" ref="Q42:Q44" si="110">AT42</f>
        <v>55.191126581657727</v>
      </c>
      <c r="R42" s="94">
        <f t="shared" ref="R42:R44" si="111">P42/400</f>
        <v>27.418208023489033</v>
      </c>
      <c r="S42" s="301"/>
      <c r="T42" s="297"/>
      <c r="U42" s="297"/>
      <c r="V42" s="297"/>
      <c r="W42" s="297"/>
      <c r="X42" s="297"/>
      <c r="Y42" s="91">
        <v>24</v>
      </c>
      <c r="Z42" s="91">
        <v>55</v>
      </c>
      <c r="AA42" s="91">
        <v>106</v>
      </c>
      <c r="AB42" s="91">
        <f t="shared" ref="AB42:AB44" si="112">CEILING((9*Y42/5)+32,1)</f>
        <v>76</v>
      </c>
      <c r="AC42" s="92">
        <f>(D42+E42)*2*10.76*F42*0.4*(AA42-AB42)</f>
        <v>58225.038379200007</v>
      </c>
      <c r="AD42" s="92">
        <f>(D42+E42)*2*10.76*F42*0.28*(AA42-AB42)</f>
        <v>40757.526865439999</v>
      </c>
      <c r="AE42" s="92">
        <f>D42*E42*0.4*10.76*(AA42-AB42)</f>
        <v>11745.536376</v>
      </c>
      <c r="AF42" s="92">
        <f>D42*E42*0.4*10.76*(AA42-AB42)</f>
        <v>11745.536376</v>
      </c>
      <c r="AG42" s="92">
        <f>D42*E42*1.75*10.76</f>
        <v>1712.8907214999999</v>
      </c>
      <c r="AH42" s="92">
        <f>L42*(3.5/2)*1.08*0.88*(AA42-AB42)*1000</f>
        <v>608731.19999999995</v>
      </c>
      <c r="AI42" s="92">
        <f>K42*285</f>
        <v>1140</v>
      </c>
      <c r="AJ42" s="92">
        <f>(M42+N42)*0.12*1.08*(AA42-AB42)</f>
        <v>2184.9587061308498</v>
      </c>
      <c r="AK42" s="92">
        <f t="shared" ref="AK42:AK44" si="113">(AC42+AD42+AE42+AF42)*0+AG42+AH42+AI42+AJ42</f>
        <v>613769.04942763085</v>
      </c>
      <c r="AL42" s="92">
        <f t="shared" ref="AL42:AL44" si="114">AK42*1</f>
        <v>613769.04942763085</v>
      </c>
      <c r="AM42" s="92">
        <f>K42*215</f>
        <v>860</v>
      </c>
      <c r="AN42" s="92">
        <f>(M42+N42)*0.68*0.12*(AA42-AB42)</f>
        <v>1375.7147408972016</v>
      </c>
      <c r="AO42" s="92">
        <f t="shared" ref="AO42:AO44" si="115">(AM42+AN42)*1</f>
        <v>2235.7147408972014</v>
      </c>
      <c r="AP42" s="92">
        <f t="shared" ref="AP42:AP44" si="116">AO42+AL42</f>
        <v>616004.76416852803</v>
      </c>
      <c r="AQ42" s="92">
        <f>(M42+N42)*0.88*1.08*(AA42-AB42)</f>
        <v>16023.03051162623</v>
      </c>
      <c r="AR42" s="92">
        <f>(M42+N42)*0.88*0.68*90</f>
        <v>30265.724299738435</v>
      </c>
      <c r="AS42" s="92">
        <f t="shared" ref="AS42:AS44" si="117">AL42+AO42+AQ42+AR42</f>
        <v>662293.51897989272</v>
      </c>
      <c r="AT42" s="92">
        <f t="shared" ref="AT42:AT44" si="118">AS42/12000</f>
        <v>55.191126581657727</v>
      </c>
      <c r="AU42" s="92">
        <v>49</v>
      </c>
      <c r="AV42" s="92">
        <f t="shared" ref="AV42:AV44" si="119">AL42/(1.08*(AA42-AU42))</f>
        <v>9970.2574630869203</v>
      </c>
      <c r="AW42" s="282">
        <v>100000</v>
      </c>
      <c r="AX42" s="282">
        <f t="shared" si="101"/>
        <v>0</v>
      </c>
      <c r="AY42" s="282">
        <f t="shared" ref="AY42:AY44" si="120">CEILING(IF(AW42=100000,P42*1/250,0),2)</f>
        <v>44</v>
      </c>
      <c r="AZ42" s="282">
        <f t="shared" ref="AZ42:AZ44" si="121">CEILING(IF(AW42=10000,P42*1/225,(IF(AWB42=10000,P42*1/225,0))),2)</f>
        <v>0</v>
      </c>
      <c r="BA42" s="282">
        <f t="shared" si="102"/>
        <v>0</v>
      </c>
      <c r="BB42" s="303"/>
      <c r="BC42" s="303"/>
      <c r="BD42" s="327"/>
      <c r="BE42" s="303"/>
      <c r="BF42" s="303"/>
      <c r="BG42" s="303"/>
      <c r="BH42" s="303"/>
      <c r="BI42" s="303"/>
      <c r="BJ42" s="336"/>
      <c r="BK42" s="115"/>
    </row>
    <row r="43" spans="1:63" s="95" customFormat="1">
      <c r="A43" s="90">
        <v>14</v>
      </c>
      <c r="B43" s="307"/>
      <c r="C43" s="106" t="s">
        <v>114</v>
      </c>
      <c r="D43" s="91">
        <v>2.4</v>
      </c>
      <c r="E43" s="94">
        <v>2</v>
      </c>
      <c r="F43" s="91">
        <v>9.1859999999999999</v>
      </c>
      <c r="G43" s="104">
        <f t="shared" si="103"/>
        <v>4.8</v>
      </c>
      <c r="H43" s="104">
        <f t="shared" si="104"/>
        <v>474.43852799999996</v>
      </c>
      <c r="I43" s="91">
        <v>30</v>
      </c>
      <c r="J43" s="92">
        <f t="shared" si="105"/>
        <v>237.21926399999998</v>
      </c>
      <c r="K43" s="91">
        <v>0</v>
      </c>
      <c r="L43" s="91">
        <v>0</v>
      </c>
      <c r="M43" s="92">
        <f t="shared" si="106"/>
        <v>23.721926400000001</v>
      </c>
      <c r="N43" s="92">
        <f>J43*1</f>
        <v>237.21926399999998</v>
      </c>
      <c r="O43" s="93">
        <f t="shared" si="108"/>
        <v>17.948722356647171</v>
      </c>
      <c r="P43" s="92">
        <f t="shared" si="109"/>
        <v>260.94119039999998</v>
      </c>
      <c r="Q43" s="94">
        <f t="shared" si="110"/>
        <v>1.9364092794368002</v>
      </c>
      <c r="R43" s="94">
        <f t="shared" si="111"/>
        <v>0.65235297599999997</v>
      </c>
      <c r="S43" s="301"/>
      <c r="T43" s="297"/>
      <c r="U43" s="297"/>
      <c r="V43" s="297"/>
      <c r="W43" s="297"/>
      <c r="X43" s="297"/>
      <c r="Y43" s="91">
        <v>24</v>
      </c>
      <c r="Z43" s="91" t="s">
        <v>106</v>
      </c>
      <c r="AA43" s="91">
        <v>106</v>
      </c>
      <c r="AB43" s="91">
        <f t="shared" si="112"/>
        <v>76</v>
      </c>
      <c r="AC43" s="92">
        <f>(D43+E43)*2*10.76*F43*0.4*(AA43-AB43)</f>
        <v>10437.647616</v>
      </c>
      <c r="AD43" s="92">
        <f>(D43+E43)*2*10.76*F43*0.28*(AA43-AB43)</f>
        <v>7306.3533312000018</v>
      </c>
      <c r="AE43" s="92">
        <f>D43*E43*0.4*10.76*(AA43-AB43)</f>
        <v>619.77599999999995</v>
      </c>
      <c r="AF43" s="92">
        <f>D43*E43*0.4*10.76*(AA43-AB43)</f>
        <v>619.77599999999995</v>
      </c>
      <c r="AG43" s="92">
        <f>D43*E43*1.75*10.76</f>
        <v>90.384</v>
      </c>
      <c r="AH43" s="92">
        <f>L43*(3.5/2)*1.08*0.88*(AA43-AB43)*1000</f>
        <v>0</v>
      </c>
      <c r="AI43" s="92">
        <f>K43*285</f>
        <v>0</v>
      </c>
      <c r="AJ43" s="92">
        <f>(M43+N43)*0.12*1.08*(AA43-AB43)</f>
        <v>1014.5393482751999</v>
      </c>
      <c r="AK43" s="92">
        <f t="shared" si="113"/>
        <v>1104.9233482751999</v>
      </c>
      <c r="AL43" s="92">
        <f t="shared" si="114"/>
        <v>1104.9233482751999</v>
      </c>
      <c r="AM43" s="92">
        <f>K43*215</f>
        <v>0</v>
      </c>
      <c r="AN43" s="92">
        <f>(M43+N43)*0.68*0.12*(AA43-AB43)</f>
        <v>638.78403409920008</v>
      </c>
      <c r="AO43" s="92">
        <f t="shared" si="115"/>
        <v>638.78403409920008</v>
      </c>
      <c r="AP43" s="92">
        <f t="shared" si="116"/>
        <v>1743.7073823743999</v>
      </c>
      <c r="AQ43" s="92">
        <f>(M43+N43)*0.88*1.08*(AA43-AB43)</f>
        <v>7439.9552206847993</v>
      </c>
      <c r="AR43" s="92">
        <f>(M43+N43)*0.88*0.68*90</f>
        <v>14053.2487501824</v>
      </c>
      <c r="AS43" s="92">
        <f t="shared" si="117"/>
        <v>23236.911353241601</v>
      </c>
      <c r="AT43" s="92">
        <f t="shared" si="118"/>
        <v>1.9364092794368002</v>
      </c>
      <c r="AU43" s="92">
        <v>49</v>
      </c>
      <c r="AV43" s="92">
        <f t="shared" si="119"/>
        <v>17.948722356647171</v>
      </c>
      <c r="AW43" s="282">
        <v>100000</v>
      </c>
      <c r="AX43" s="282">
        <f t="shared" si="101"/>
        <v>0</v>
      </c>
      <c r="AY43" s="282">
        <f t="shared" si="120"/>
        <v>2</v>
      </c>
      <c r="AZ43" s="282">
        <f t="shared" si="121"/>
        <v>0</v>
      </c>
      <c r="BA43" s="282">
        <f t="shared" si="102"/>
        <v>0</v>
      </c>
      <c r="BB43" s="303"/>
      <c r="BC43" s="303"/>
      <c r="BD43" s="327"/>
      <c r="BE43" s="303"/>
      <c r="BF43" s="303"/>
      <c r="BG43" s="303"/>
      <c r="BH43" s="303"/>
      <c r="BI43" s="303"/>
      <c r="BJ43" s="336"/>
      <c r="BK43" s="115"/>
    </row>
    <row r="44" spans="1:63" s="95" customFormat="1" ht="15.75" thickBot="1">
      <c r="A44" s="90">
        <v>15</v>
      </c>
      <c r="B44" s="307"/>
      <c r="C44" s="106" t="s">
        <v>105</v>
      </c>
      <c r="D44" s="91">
        <v>2.4</v>
      </c>
      <c r="E44" s="94">
        <v>2.2000000000000002</v>
      </c>
      <c r="F44" s="91">
        <v>9.1859999999999999</v>
      </c>
      <c r="G44" s="104">
        <f t="shared" si="103"/>
        <v>5.28</v>
      </c>
      <c r="H44" s="104">
        <f t="shared" si="104"/>
        <v>521.88238079999996</v>
      </c>
      <c r="I44" s="91">
        <v>30</v>
      </c>
      <c r="J44" s="92">
        <f t="shared" si="105"/>
        <v>260.94119039999998</v>
      </c>
      <c r="K44" s="91">
        <v>0</v>
      </c>
      <c r="L44" s="91">
        <v>0</v>
      </c>
      <c r="M44" s="92">
        <f t="shared" si="106"/>
        <v>26.094119039999999</v>
      </c>
      <c r="N44" s="92">
        <f>J44*1</f>
        <v>260.94119039999998</v>
      </c>
      <c r="O44" s="93">
        <f t="shared" si="108"/>
        <v>19.743594592311887</v>
      </c>
      <c r="P44" s="92">
        <f t="shared" si="109"/>
        <v>287.03530943999999</v>
      </c>
      <c r="Q44" s="94">
        <f t="shared" si="110"/>
        <v>2.1300502073804801</v>
      </c>
      <c r="R44" s="94">
        <f t="shared" si="111"/>
        <v>0.71758827359999999</v>
      </c>
      <c r="S44" s="301"/>
      <c r="T44" s="298"/>
      <c r="U44" s="298"/>
      <c r="V44" s="298"/>
      <c r="W44" s="298"/>
      <c r="X44" s="298"/>
      <c r="Y44" s="91">
        <v>24</v>
      </c>
      <c r="Z44" s="91" t="s">
        <v>106</v>
      </c>
      <c r="AA44" s="91">
        <v>106</v>
      </c>
      <c r="AB44" s="91">
        <f t="shared" si="112"/>
        <v>76</v>
      </c>
      <c r="AC44" s="92">
        <f>(D44+E44)*2*10.76*F44*0.4*(AA44-AB44)</f>
        <v>10912.086144000001</v>
      </c>
      <c r="AD44" s="92">
        <f>(D44+E44)*2*10.76*F44*0.28*(AA44-AB44)</f>
        <v>7638.4603007999995</v>
      </c>
      <c r="AE44" s="92">
        <f>D44*E44*0.4*10.76*(AA44-AB44)</f>
        <v>681.75360000000001</v>
      </c>
      <c r="AF44" s="92">
        <f>D44*E44*0.4*10.76*(AA44-AB44)</f>
        <v>681.75360000000001</v>
      </c>
      <c r="AG44" s="92">
        <f>D44*E44*1.75*10.76</f>
        <v>99.422399999999996</v>
      </c>
      <c r="AH44" s="92">
        <f>L44*(3.5/2)*1.08*0.88*(AA44-AB44)*1000</f>
        <v>0</v>
      </c>
      <c r="AI44" s="92">
        <f>K44*285</f>
        <v>0</v>
      </c>
      <c r="AJ44" s="92">
        <f>(M44+N44)*0.12*1.08*(AA44-AB44)</f>
        <v>1115.9932831027199</v>
      </c>
      <c r="AK44" s="92">
        <f t="shared" si="113"/>
        <v>1215.4156831027199</v>
      </c>
      <c r="AL44" s="92">
        <f t="shared" si="114"/>
        <v>1215.4156831027199</v>
      </c>
      <c r="AM44" s="92">
        <f>K44*215</f>
        <v>0</v>
      </c>
      <c r="AN44" s="92">
        <f>(M44+N44)*0.68*0.12*(AA44-AB44)</f>
        <v>702.66243750911997</v>
      </c>
      <c r="AO44" s="92">
        <f t="shared" si="115"/>
        <v>702.66243750911997</v>
      </c>
      <c r="AP44" s="92">
        <f t="shared" si="116"/>
        <v>1918.0781206118399</v>
      </c>
      <c r="AQ44" s="92">
        <f>(M44+N44)*0.88*1.08*(AA44-AB44)</f>
        <v>8183.9507427532808</v>
      </c>
      <c r="AR44" s="92">
        <f>(M44+N44)*0.88*0.68*90</f>
        <v>15458.573625200641</v>
      </c>
      <c r="AS44" s="92">
        <f t="shared" si="117"/>
        <v>25560.602488565761</v>
      </c>
      <c r="AT44" s="92">
        <f t="shared" si="118"/>
        <v>2.1300502073804801</v>
      </c>
      <c r="AU44" s="92">
        <v>49</v>
      </c>
      <c r="AV44" s="92">
        <f t="shared" si="119"/>
        <v>19.743594592311887</v>
      </c>
      <c r="AW44" s="282">
        <v>100000</v>
      </c>
      <c r="AX44" s="282">
        <f t="shared" si="101"/>
        <v>0</v>
      </c>
      <c r="AY44" s="282">
        <f t="shared" si="120"/>
        <v>2</v>
      </c>
      <c r="AZ44" s="282">
        <f t="shared" si="121"/>
        <v>0</v>
      </c>
      <c r="BA44" s="282">
        <f t="shared" si="102"/>
        <v>0</v>
      </c>
      <c r="BB44" s="303"/>
      <c r="BC44" s="303"/>
      <c r="BD44" s="327"/>
      <c r="BE44" s="303"/>
      <c r="BF44" s="303"/>
      <c r="BG44" s="303"/>
      <c r="BH44" s="303"/>
      <c r="BI44" s="303"/>
      <c r="BJ44" s="336"/>
      <c r="BK44" s="115"/>
    </row>
    <row r="45" spans="1:63" s="101" customFormat="1" ht="18.75" customHeight="1" thickBot="1">
      <c r="A45" s="96"/>
      <c r="B45" s="97"/>
      <c r="C45" s="139"/>
      <c r="D45" s="97"/>
      <c r="E45" s="99"/>
      <c r="F45" s="97"/>
      <c r="G45" s="173">
        <f>SUM(G41:G44)</f>
        <v>108.57369999999999</v>
      </c>
      <c r="H45" s="173">
        <f>SUM(H41:H44)</f>
        <v>12979.863589537999</v>
      </c>
      <c r="I45" s="177"/>
      <c r="J45" s="175">
        <f t="shared" ref="J45:R45" si="122">SUM(J41:J44)</f>
        <v>6613.9389887030002</v>
      </c>
      <c r="K45" s="174">
        <f t="shared" si="122"/>
        <v>4</v>
      </c>
      <c r="L45" s="174">
        <f t="shared" si="122"/>
        <v>12.2</v>
      </c>
      <c r="M45" s="175">
        <f t="shared" si="122"/>
        <v>661.39389887030006</v>
      </c>
      <c r="N45" s="175">
        <f t="shared" si="122"/>
        <v>498.16045439999994</v>
      </c>
      <c r="O45" s="175">
        <f t="shared" si="122"/>
        <v>10013.385154264373</v>
      </c>
      <c r="P45" s="175">
        <f t="shared" si="122"/>
        <v>12060.891362545213</v>
      </c>
      <c r="Q45" s="176">
        <f t="shared" si="122"/>
        <v>59.636062676957394</v>
      </c>
      <c r="R45" s="176">
        <f t="shared" si="122"/>
        <v>30.152228406363033</v>
      </c>
      <c r="S45" s="163"/>
      <c r="T45" s="163"/>
      <c r="U45" s="163"/>
      <c r="V45" s="163"/>
      <c r="W45" s="163"/>
      <c r="X45" s="163"/>
      <c r="Y45" s="97"/>
      <c r="Z45" s="97"/>
      <c r="AA45" s="97"/>
      <c r="AB45" s="97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283"/>
      <c r="AX45" s="283"/>
      <c r="AY45" s="283"/>
      <c r="AZ45" s="283"/>
      <c r="BA45" s="283"/>
      <c r="BB45" s="167"/>
      <c r="BC45" s="122"/>
      <c r="BJ45" s="254"/>
      <c r="BK45" s="122"/>
    </row>
    <row r="46" spans="1:63" s="193" customFormat="1" ht="24" thickBot="1">
      <c r="A46" s="183"/>
      <c r="B46" s="184">
        <v>5</v>
      </c>
      <c r="C46" s="185" t="s">
        <v>98</v>
      </c>
      <c r="D46" s="186"/>
      <c r="E46" s="187"/>
      <c r="F46" s="186"/>
      <c r="G46" s="188"/>
      <c r="H46" s="188"/>
      <c r="I46" s="186"/>
      <c r="J46" s="189"/>
      <c r="K46" s="186"/>
      <c r="L46" s="186"/>
      <c r="M46" s="189"/>
      <c r="N46" s="189"/>
      <c r="O46" s="190"/>
      <c r="P46" s="189"/>
      <c r="Q46" s="187"/>
      <c r="R46" s="187"/>
      <c r="S46" s="196"/>
      <c r="T46" s="196"/>
      <c r="U46" s="196"/>
      <c r="V46" s="196"/>
      <c r="W46" s="196"/>
      <c r="X46" s="196"/>
      <c r="Y46" s="186"/>
      <c r="Z46" s="186"/>
      <c r="AA46" s="186"/>
      <c r="AB46" s="186"/>
      <c r="AC46" s="189"/>
      <c r="AD46" s="189"/>
      <c r="AE46" s="189"/>
      <c r="AF46" s="189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189"/>
      <c r="AT46" s="189"/>
      <c r="AU46" s="189"/>
      <c r="AV46" s="189"/>
      <c r="AW46" s="281"/>
      <c r="AX46" s="281"/>
      <c r="AY46" s="281"/>
      <c r="AZ46" s="281"/>
      <c r="BA46" s="281"/>
      <c r="BB46" s="197"/>
      <c r="BC46" s="192"/>
      <c r="BJ46" s="255"/>
      <c r="BK46" s="192"/>
    </row>
    <row r="47" spans="1:63" s="89" customFormat="1">
      <c r="A47" s="90">
        <v>16</v>
      </c>
      <c r="B47" s="300" t="s">
        <v>115</v>
      </c>
      <c r="C47" s="106" t="s">
        <v>100</v>
      </c>
      <c r="D47" s="91">
        <v>3</v>
      </c>
      <c r="E47" s="94">
        <v>2.4</v>
      </c>
      <c r="F47" s="91">
        <v>9.1859999999999999</v>
      </c>
      <c r="G47" s="104">
        <f>D47*E47</f>
        <v>7.1999999999999993</v>
      </c>
      <c r="H47" s="104">
        <f>D47*E47*F47*10.76</f>
        <v>711.65779199999986</v>
      </c>
      <c r="I47" s="91">
        <v>30</v>
      </c>
      <c r="J47" s="92">
        <f>H47*I47/60</f>
        <v>355.82889599999993</v>
      </c>
      <c r="K47" s="91">
        <v>0</v>
      </c>
      <c r="L47" s="91">
        <v>0</v>
      </c>
      <c r="M47" s="92">
        <f>J47*0.1</f>
        <v>35.582889599999994</v>
      </c>
      <c r="N47" s="92">
        <f>J47*0</f>
        <v>0</v>
      </c>
      <c r="O47" s="93">
        <f>AV47</f>
        <v>4.4496795770760214</v>
      </c>
      <c r="P47" s="92">
        <f>MAX(J47,O47)*1.1</f>
        <v>391.41178559999997</v>
      </c>
      <c r="Q47" s="94">
        <f>AT47</f>
        <v>0.27432671992319996</v>
      </c>
      <c r="R47" s="94">
        <f>P47/400</f>
        <v>0.97852946399999996</v>
      </c>
      <c r="S47" s="301">
        <f>CEILING(MAX(SUM(Q47:Q50),SUM(R47:R50)),0.5)</f>
        <v>60</v>
      </c>
      <c r="T47" s="304">
        <f>S47*2.4</f>
        <v>144</v>
      </c>
      <c r="U47" s="304">
        <f>T47*0.0630902</f>
        <v>9.0849887999999996</v>
      </c>
      <c r="V47" s="304">
        <f>0.26*SQRT(T47)</f>
        <v>3.12</v>
      </c>
      <c r="W47" s="304">
        <f>CEILING(V47,0.5)</f>
        <v>3.5</v>
      </c>
      <c r="X47" s="304" t="s">
        <v>101</v>
      </c>
      <c r="Y47" s="91">
        <v>24</v>
      </c>
      <c r="Z47" s="91">
        <v>55</v>
      </c>
      <c r="AA47" s="91">
        <v>106</v>
      </c>
      <c r="AB47" s="91">
        <f>CEILING((9*Y47/5)+32,1)</f>
        <v>76</v>
      </c>
      <c r="AC47" s="92">
        <f>(D47+E47)*2*10.76*F47*0.4*(AA47-AB47)</f>
        <v>12809.840256000001</v>
      </c>
      <c r="AD47" s="92">
        <f>(D47+E47)*2*10.76*F47*0.28*(AA47-AB47)</f>
        <v>8966.8881791999993</v>
      </c>
      <c r="AE47" s="92">
        <f>D47*E47*0.4*10.76*(AA47-AB47)</f>
        <v>929.66399999999999</v>
      </c>
      <c r="AF47" s="92">
        <f>D47*E47*0.4*10.76*(AA47-AB47)</f>
        <v>929.66399999999999</v>
      </c>
      <c r="AG47" s="92">
        <f>D47*E47*1.75*10.76</f>
        <v>135.57599999999996</v>
      </c>
      <c r="AH47" s="92">
        <f>L47*(3.5/2)*1.08*0.88*(AA47-AB47)*1000</f>
        <v>0</v>
      </c>
      <c r="AI47" s="92">
        <f>K47*285</f>
        <v>0</v>
      </c>
      <c r="AJ47" s="92">
        <f>(M47+N47)*0.12*1.08*(AA47-AB47)</f>
        <v>138.34627476479997</v>
      </c>
      <c r="AK47" s="92">
        <f>(AC47+AD47+AE47+AF47)*0+AG47+AH47+AI47+AJ47</f>
        <v>273.92227476479991</v>
      </c>
      <c r="AL47" s="92">
        <f>AK47*1</f>
        <v>273.92227476479991</v>
      </c>
      <c r="AM47" s="92">
        <f>K47*215</f>
        <v>0</v>
      </c>
      <c r="AN47" s="92">
        <f>(M47+N47)*0.68*0.12*(AA47-AB47)</f>
        <v>87.106913740799982</v>
      </c>
      <c r="AO47" s="92">
        <f>(AM47+AN47)*1</f>
        <v>87.106913740799982</v>
      </c>
      <c r="AP47" s="92">
        <f>AO47+AL47</f>
        <v>361.0291885055999</v>
      </c>
      <c r="AQ47" s="92">
        <f>(M47+N47)*0.88*1.08*(AA47-AB47)</f>
        <v>1014.5393482751999</v>
      </c>
      <c r="AR47" s="92">
        <f>(M47+N47)*0.88*0.68*90</f>
        <v>1916.3521022975999</v>
      </c>
      <c r="AS47" s="92">
        <f>AL47+AO47+AQ47+AR47</f>
        <v>3291.9206390783997</v>
      </c>
      <c r="AT47" s="92">
        <f>AS47/12000</f>
        <v>0.27432671992319996</v>
      </c>
      <c r="AU47" s="92">
        <v>49</v>
      </c>
      <c r="AV47" s="92">
        <f>AL47/(1.08*(AA47-AU47))</f>
        <v>4.4496795770760214</v>
      </c>
      <c r="AW47" s="282">
        <v>100000</v>
      </c>
      <c r="AX47" s="282">
        <f t="shared" ref="AX47:AX50" si="123">CEILING(IF(AW47=20,P47*1/350,(IF(AWB47=5,P47*1/300,0))),2)</f>
        <v>0</v>
      </c>
      <c r="AY47" s="282">
        <f t="shared" ref="AY47" si="124">CEILING(IF(AW47=100000,P47*1/250,0),2)</f>
        <v>2</v>
      </c>
      <c r="AZ47" s="282">
        <f t="shared" ref="AZ47" si="125">CEILING(IF(AW47=10000,P47*1/225,(IF(AWB47=10000,P47*1/225,0))),2)</f>
        <v>0</v>
      </c>
      <c r="BA47" s="282">
        <f t="shared" ref="BA47:BA50" si="126">CEILING(IF(AW47=1000,P47*1/100,(IF(AWB47=100,P47*1/100,0))),2)</f>
        <v>0</v>
      </c>
      <c r="BB47" s="303">
        <f>CEILING(SUM(P47:P50),50)</f>
        <v>11950</v>
      </c>
      <c r="BC47" s="303">
        <v>150</v>
      </c>
      <c r="BD47" s="327"/>
      <c r="BE47" s="303">
        <v>20</v>
      </c>
      <c r="BF47" s="303">
        <f>CEILING(N51*1.1, 25)</f>
        <v>575</v>
      </c>
      <c r="BG47" s="303">
        <v>75</v>
      </c>
      <c r="BH47" s="303"/>
      <c r="BI47" s="303">
        <v>1</v>
      </c>
      <c r="BJ47" s="336">
        <f>BE47*(750/1000)+S47*0.8+BI47*(750/1000)</f>
        <v>63.75</v>
      </c>
      <c r="BK47" s="114">
        <f>U47*3.6</f>
        <v>32.705959679999999</v>
      </c>
    </row>
    <row r="48" spans="1:63" s="95" customFormat="1">
      <c r="A48" s="90">
        <v>17</v>
      </c>
      <c r="B48" s="300"/>
      <c r="C48" s="106" t="s">
        <v>116</v>
      </c>
      <c r="D48" s="91">
        <v>12.145</v>
      </c>
      <c r="E48" s="94">
        <v>7.4249999999999998</v>
      </c>
      <c r="F48" s="91">
        <v>11.483000000000001</v>
      </c>
      <c r="G48" s="104">
        <f t="shared" ref="G48:G50" si="127">D48*E48</f>
        <v>90.176625000000001</v>
      </c>
      <c r="H48" s="104">
        <f t="shared" ref="H48:H50" si="128">D48*E48*F48*10.76</f>
        <v>11141.960469255</v>
      </c>
      <c r="I48" s="91">
        <v>30</v>
      </c>
      <c r="J48" s="92">
        <f t="shared" ref="J48:J50" si="129">H48*I48/60</f>
        <v>5570.9802346275001</v>
      </c>
      <c r="K48" s="91">
        <v>4</v>
      </c>
      <c r="L48" s="91">
        <v>12.2</v>
      </c>
      <c r="M48" s="92">
        <f t="shared" ref="M48:M50" si="130">J48*0.1</f>
        <v>557.09802346275001</v>
      </c>
      <c r="N48" s="92">
        <f t="shared" ref="N48" si="131">J48*0</f>
        <v>0</v>
      </c>
      <c r="O48" s="93">
        <f t="shared" ref="O48:O50" si="132">AV48</f>
        <v>9969.7079753731832</v>
      </c>
      <c r="P48" s="92">
        <f t="shared" ref="P48:P50" si="133">MAX(J48,O48)*1.1</f>
        <v>10966.678772910502</v>
      </c>
      <c r="Q48" s="94">
        <f t="shared" ref="Q48:Q50" si="134">AT48</f>
        <v>55.153837410165814</v>
      </c>
      <c r="R48" s="94">
        <f t="shared" ref="R48:R50" si="135">P48/400</f>
        <v>27.416696932276253</v>
      </c>
      <c r="S48" s="301"/>
      <c r="T48" s="297"/>
      <c r="U48" s="297"/>
      <c r="V48" s="297"/>
      <c r="W48" s="297"/>
      <c r="X48" s="297"/>
      <c r="Y48" s="91">
        <v>24</v>
      </c>
      <c r="Z48" s="91">
        <v>55</v>
      </c>
      <c r="AA48" s="91">
        <v>106</v>
      </c>
      <c r="AB48" s="91">
        <f t="shared" ref="AB48:AB50" si="136">CEILING((9*Y48/5)+32,1)</f>
        <v>76</v>
      </c>
      <c r="AC48" s="92">
        <f>(D48+E48)*2*10.76*F48*0.4*(AA48-AB48)</f>
        <v>58032.289334400004</v>
      </c>
      <c r="AD48" s="92">
        <f>(D48+E48)*2*10.76*F48*0.28*(AA48-AB48)</f>
        <v>40622.602534080004</v>
      </c>
      <c r="AE48" s="92">
        <f>D48*E48*0.4*10.76*(AA48-AB48)</f>
        <v>11643.605820000001</v>
      </c>
      <c r="AF48" s="92">
        <f>D48*E48*0.4*10.76*(AA48-AB48)</f>
        <v>11643.605820000001</v>
      </c>
      <c r="AG48" s="92">
        <f>D48*E48*1.75*10.76</f>
        <v>1698.0258487499998</v>
      </c>
      <c r="AH48" s="92">
        <f>L48*(3.5/2)*1.08*0.88*(AA48-AB48)*1000</f>
        <v>608731.19999999995</v>
      </c>
      <c r="AI48" s="92">
        <f>K48*285</f>
        <v>1140</v>
      </c>
      <c r="AJ48" s="92">
        <f>(M48+N48)*0.12*1.08*(AA48-AB48)</f>
        <v>2165.9971152231719</v>
      </c>
      <c r="AK48" s="92">
        <f t="shared" ref="AK48:AK50" si="137">(AC48+AD48+AE48+AF48)*0+AG48+AH48+AI48+AJ48</f>
        <v>613735.22296397318</v>
      </c>
      <c r="AL48" s="92">
        <f t="shared" ref="AL48:AL50" si="138">AK48*1</f>
        <v>613735.22296397318</v>
      </c>
      <c r="AM48" s="92">
        <f>K48*215</f>
        <v>860</v>
      </c>
      <c r="AN48" s="92">
        <f>(M48+N48)*0.68*0.12*(AA48-AB48)</f>
        <v>1363.7759614368122</v>
      </c>
      <c r="AO48" s="92">
        <f t="shared" ref="AO48:AO50" si="139">(AM48+AN48)*1</f>
        <v>2223.7759614368124</v>
      </c>
      <c r="AP48" s="92">
        <f t="shared" ref="AP48:AP50" si="140">AO48+AL48</f>
        <v>615958.99892540998</v>
      </c>
      <c r="AQ48" s="92">
        <f>(M48+N48)*0.88*1.08*(AA48-AB48)</f>
        <v>15883.97884496993</v>
      </c>
      <c r="AR48" s="92">
        <f>(M48+N48)*0.88*0.68*90</f>
        <v>30003.071151609867</v>
      </c>
      <c r="AS48" s="92">
        <f t="shared" ref="AS48:AS50" si="141">AL48+AO48+AQ48+AR48</f>
        <v>661846.04892198974</v>
      </c>
      <c r="AT48" s="92">
        <f t="shared" ref="AT48:AT50" si="142">AS48/12000</f>
        <v>55.153837410165814</v>
      </c>
      <c r="AU48" s="92">
        <v>49</v>
      </c>
      <c r="AV48" s="92">
        <f t="shared" ref="AV48:AV50" si="143">AL48/(1.08*(AA48-AU48))</f>
        <v>9969.7079753731832</v>
      </c>
      <c r="AW48" s="282">
        <v>100000</v>
      </c>
      <c r="AX48" s="282">
        <f t="shared" si="123"/>
        <v>0</v>
      </c>
      <c r="AY48" s="282">
        <f t="shared" ref="AY48:AY50" si="144">CEILING(IF(AW48=100000,P48*1/250,0),2)</f>
        <v>44</v>
      </c>
      <c r="AZ48" s="282">
        <f t="shared" ref="AZ48:AZ50" si="145">CEILING(IF(AW48=10000,P48*1/225,(IF(AWB48=10000,P48*1/225,0))),2)</f>
        <v>0</v>
      </c>
      <c r="BA48" s="282">
        <f t="shared" si="126"/>
        <v>0</v>
      </c>
      <c r="BB48" s="303"/>
      <c r="BC48" s="303"/>
      <c r="BD48" s="327"/>
      <c r="BE48" s="303"/>
      <c r="BF48" s="303"/>
      <c r="BG48" s="303"/>
      <c r="BH48" s="303"/>
      <c r="BI48" s="303"/>
      <c r="BJ48" s="336"/>
      <c r="BK48" s="115"/>
    </row>
    <row r="49" spans="1:63" s="95" customFormat="1">
      <c r="A49" s="90">
        <v>18</v>
      </c>
      <c r="B49" s="300"/>
      <c r="C49" s="106" t="s">
        <v>114</v>
      </c>
      <c r="D49" s="91">
        <v>2.4</v>
      </c>
      <c r="E49" s="94">
        <v>2</v>
      </c>
      <c r="F49" s="91">
        <v>9.1859999999999999</v>
      </c>
      <c r="G49" s="104">
        <f t="shared" si="127"/>
        <v>4.8</v>
      </c>
      <c r="H49" s="104">
        <f t="shared" si="128"/>
        <v>474.43852799999996</v>
      </c>
      <c r="I49" s="91">
        <v>30</v>
      </c>
      <c r="J49" s="92">
        <f t="shared" si="129"/>
        <v>237.21926399999998</v>
      </c>
      <c r="K49" s="91">
        <v>0</v>
      </c>
      <c r="L49" s="91">
        <v>0</v>
      </c>
      <c r="M49" s="92">
        <f t="shared" si="130"/>
        <v>23.721926400000001</v>
      </c>
      <c r="N49" s="92">
        <f>J49*1</f>
        <v>237.21926399999998</v>
      </c>
      <c r="O49" s="93">
        <f t="shared" si="132"/>
        <v>17.948722356647171</v>
      </c>
      <c r="P49" s="92">
        <f t="shared" si="133"/>
        <v>260.94119039999998</v>
      </c>
      <c r="Q49" s="94">
        <f t="shared" si="134"/>
        <v>1.9364092794368002</v>
      </c>
      <c r="R49" s="94">
        <f t="shared" si="135"/>
        <v>0.65235297599999997</v>
      </c>
      <c r="S49" s="301"/>
      <c r="T49" s="297"/>
      <c r="U49" s="297"/>
      <c r="V49" s="297"/>
      <c r="W49" s="297"/>
      <c r="X49" s="297"/>
      <c r="Y49" s="91">
        <v>24</v>
      </c>
      <c r="Z49" s="91" t="s">
        <v>106</v>
      </c>
      <c r="AA49" s="91">
        <v>106</v>
      </c>
      <c r="AB49" s="91">
        <f t="shared" si="136"/>
        <v>76</v>
      </c>
      <c r="AC49" s="92">
        <f>(D49+E49)*2*10.76*F49*0.4*(AA49-AB49)</f>
        <v>10437.647616</v>
      </c>
      <c r="AD49" s="92">
        <f>(D49+E49)*2*10.76*F49*0.28*(AA49-AB49)</f>
        <v>7306.3533312000018</v>
      </c>
      <c r="AE49" s="92">
        <f>D49*E49*0.4*10.76*(AA49-AB49)</f>
        <v>619.77599999999995</v>
      </c>
      <c r="AF49" s="92">
        <f>D49*E49*0.4*10.76*(AA49-AB49)</f>
        <v>619.77599999999995</v>
      </c>
      <c r="AG49" s="92">
        <f>D49*E49*1.75*10.76</f>
        <v>90.384</v>
      </c>
      <c r="AH49" s="92">
        <f>L49*(3.5/2)*1.08*0.88*(AA49-AB49)*1000</f>
        <v>0</v>
      </c>
      <c r="AI49" s="92">
        <f>K49*285</f>
        <v>0</v>
      </c>
      <c r="AJ49" s="92">
        <f>(M49+N49)*0.12*1.08*(AA49-AB49)</f>
        <v>1014.5393482751999</v>
      </c>
      <c r="AK49" s="92">
        <f t="shared" si="137"/>
        <v>1104.9233482751999</v>
      </c>
      <c r="AL49" s="92">
        <f t="shared" si="138"/>
        <v>1104.9233482751999</v>
      </c>
      <c r="AM49" s="92">
        <f>K49*215</f>
        <v>0</v>
      </c>
      <c r="AN49" s="92">
        <f>(M49+N49)*0.68*0.12*(AA49-AB49)</f>
        <v>638.78403409920008</v>
      </c>
      <c r="AO49" s="92">
        <f t="shared" si="139"/>
        <v>638.78403409920008</v>
      </c>
      <c r="AP49" s="92">
        <f t="shared" si="140"/>
        <v>1743.7073823743999</v>
      </c>
      <c r="AQ49" s="92">
        <f>(M49+N49)*0.88*1.08*(AA49-AB49)</f>
        <v>7439.9552206847993</v>
      </c>
      <c r="AR49" s="92">
        <f>(M49+N49)*0.88*0.68*90</f>
        <v>14053.2487501824</v>
      </c>
      <c r="AS49" s="92">
        <f t="shared" si="141"/>
        <v>23236.911353241601</v>
      </c>
      <c r="AT49" s="92">
        <f t="shared" si="142"/>
        <v>1.9364092794368002</v>
      </c>
      <c r="AU49" s="92">
        <v>49</v>
      </c>
      <c r="AV49" s="92">
        <f t="shared" si="143"/>
        <v>17.948722356647171</v>
      </c>
      <c r="AW49" s="282">
        <v>100000</v>
      </c>
      <c r="AX49" s="282">
        <f t="shared" si="123"/>
        <v>0</v>
      </c>
      <c r="AY49" s="282">
        <f t="shared" si="144"/>
        <v>2</v>
      </c>
      <c r="AZ49" s="282">
        <f t="shared" si="145"/>
        <v>0</v>
      </c>
      <c r="BA49" s="282">
        <f t="shared" si="126"/>
        <v>0</v>
      </c>
      <c r="BB49" s="303"/>
      <c r="BC49" s="303"/>
      <c r="BD49" s="327"/>
      <c r="BE49" s="303"/>
      <c r="BF49" s="303"/>
      <c r="BG49" s="303"/>
      <c r="BH49" s="303"/>
      <c r="BI49" s="303"/>
      <c r="BJ49" s="336"/>
      <c r="BK49" s="115"/>
    </row>
    <row r="50" spans="1:63" s="95" customFormat="1" ht="15.75" thickBot="1">
      <c r="A50" s="90">
        <v>19</v>
      </c>
      <c r="B50" s="300"/>
      <c r="C50" s="106" t="s">
        <v>105</v>
      </c>
      <c r="D50" s="91">
        <v>2.4</v>
      </c>
      <c r="E50" s="94">
        <v>2.2999999999999998</v>
      </c>
      <c r="F50" s="91">
        <v>9.1859999999999999</v>
      </c>
      <c r="G50" s="104">
        <f t="shared" si="127"/>
        <v>5.52</v>
      </c>
      <c r="H50" s="104">
        <f t="shared" si="128"/>
        <v>545.60430719999999</v>
      </c>
      <c r="I50" s="91">
        <v>30</v>
      </c>
      <c r="J50" s="92">
        <f t="shared" si="129"/>
        <v>272.8021536</v>
      </c>
      <c r="K50" s="91">
        <v>0</v>
      </c>
      <c r="L50" s="91">
        <v>0</v>
      </c>
      <c r="M50" s="92">
        <f t="shared" si="130"/>
        <v>27.28021536</v>
      </c>
      <c r="N50" s="92">
        <f>J50*1</f>
        <v>272.8021536</v>
      </c>
      <c r="O50" s="93">
        <f t="shared" si="132"/>
        <v>20.64103071014425</v>
      </c>
      <c r="P50" s="92">
        <f t="shared" si="133"/>
        <v>300.08236896</v>
      </c>
      <c r="Q50" s="94">
        <f t="shared" si="134"/>
        <v>2.2268706713523199</v>
      </c>
      <c r="R50" s="94">
        <f t="shared" si="135"/>
        <v>0.75020592239999995</v>
      </c>
      <c r="S50" s="301"/>
      <c r="T50" s="298"/>
      <c r="U50" s="298"/>
      <c r="V50" s="298"/>
      <c r="W50" s="298"/>
      <c r="X50" s="298"/>
      <c r="Y50" s="91">
        <v>24</v>
      </c>
      <c r="Z50" s="91" t="s">
        <v>106</v>
      </c>
      <c r="AA50" s="91">
        <v>106</v>
      </c>
      <c r="AB50" s="91">
        <f t="shared" si="136"/>
        <v>76</v>
      </c>
      <c r="AC50" s="92">
        <f>(D50+E50)*2*10.76*F50*0.4*(AA50-AB50)</f>
        <v>11149.305407999998</v>
      </c>
      <c r="AD50" s="92">
        <f>(D50+E50)*2*10.76*F50*0.28*(AA50-AB50)</f>
        <v>7804.5137855999992</v>
      </c>
      <c r="AE50" s="92">
        <f>D50*E50*0.4*10.76*(AA50-AB50)</f>
        <v>712.74239999999986</v>
      </c>
      <c r="AF50" s="92">
        <f>D50*E50*0.4*10.76*(AA50-AB50)</f>
        <v>712.74239999999986</v>
      </c>
      <c r="AG50" s="92">
        <f>D50*E50*1.75*10.76</f>
        <v>103.94159999999999</v>
      </c>
      <c r="AH50" s="92">
        <f>L50*(3.5/2)*1.08*0.88*(AA50-AB50)*1000</f>
        <v>0</v>
      </c>
      <c r="AI50" s="92">
        <f>K50*285</f>
        <v>0</v>
      </c>
      <c r="AJ50" s="92">
        <f>(M50+N50)*0.12*1.08*(AA50-AB50)</f>
        <v>1166.7202505164801</v>
      </c>
      <c r="AK50" s="92">
        <f t="shared" si="137"/>
        <v>1270.6618505164802</v>
      </c>
      <c r="AL50" s="92">
        <f t="shared" si="138"/>
        <v>1270.6618505164802</v>
      </c>
      <c r="AM50" s="92">
        <f>K50*215</f>
        <v>0</v>
      </c>
      <c r="AN50" s="92">
        <f>(M50+N50)*0.68*0.12*(AA50-AB50)</f>
        <v>734.60163921408002</v>
      </c>
      <c r="AO50" s="92">
        <f t="shared" si="139"/>
        <v>734.60163921408002</v>
      </c>
      <c r="AP50" s="92">
        <f t="shared" si="140"/>
        <v>2005.2634897305602</v>
      </c>
      <c r="AQ50" s="92">
        <f>(M50+N50)*0.88*1.08*(AA50-AB50)</f>
        <v>8555.9485037875202</v>
      </c>
      <c r="AR50" s="92">
        <f>(M50+N50)*0.88*0.68*90</f>
        <v>16161.236062709759</v>
      </c>
      <c r="AS50" s="92">
        <f t="shared" si="141"/>
        <v>26722.44805622784</v>
      </c>
      <c r="AT50" s="92">
        <f t="shared" si="142"/>
        <v>2.2268706713523199</v>
      </c>
      <c r="AU50" s="92">
        <v>49</v>
      </c>
      <c r="AV50" s="92">
        <f t="shared" si="143"/>
        <v>20.64103071014425</v>
      </c>
      <c r="AW50" s="282">
        <v>100000</v>
      </c>
      <c r="AX50" s="282">
        <f t="shared" si="123"/>
        <v>0</v>
      </c>
      <c r="AY50" s="282">
        <f t="shared" si="144"/>
        <v>2</v>
      </c>
      <c r="AZ50" s="282">
        <f t="shared" si="145"/>
        <v>0</v>
      </c>
      <c r="BA50" s="282">
        <f t="shared" si="126"/>
        <v>0</v>
      </c>
      <c r="BB50" s="303"/>
      <c r="BC50" s="303"/>
      <c r="BD50" s="327"/>
      <c r="BE50" s="303"/>
      <c r="BF50" s="303"/>
      <c r="BG50" s="303"/>
      <c r="BH50" s="303"/>
      <c r="BI50" s="303"/>
      <c r="BJ50" s="336"/>
      <c r="BK50" s="115"/>
    </row>
    <row r="51" spans="1:63" s="101" customFormat="1" ht="16.5" customHeight="1" thickBot="1">
      <c r="A51" s="96"/>
      <c r="B51" s="97"/>
      <c r="C51" s="139"/>
      <c r="D51" s="97"/>
      <c r="E51" s="99"/>
      <c r="F51" s="97"/>
      <c r="G51" s="173">
        <f>SUM(G47:G50)</f>
        <v>107.696625</v>
      </c>
      <c r="H51" s="173">
        <f>SUM(H47:H50)</f>
        <v>12873.661096455</v>
      </c>
      <c r="I51" s="177"/>
      <c r="J51" s="175">
        <f t="shared" ref="J51:R51" si="146">SUM(J47:J50)</f>
        <v>6436.8305482275</v>
      </c>
      <c r="K51" s="174">
        <f t="shared" si="146"/>
        <v>4</v>
      </c>
      <c r="L51" s="174">
        <f t="shared" si="146"/>
        <v>12.2</v>
      </c>
      <c r="M51" s="175">
        <f t="shared" si="146"/>
        <v>643.68305482275014</v>
      </c>
      <c r="N51" s="175">
        <f t="shared" si="146"/>
        <v>510.02141759999995</v>
      </c>
      <c r="O51" s="175">
        <f t="shared" si="146"/>
        <v>10012.74740801705</v>
      </c>
      <c r="P51" s="175">
        <f t="shared" si="146"/>
        <v>11919.114117870502</v>
      </c>
      <c r="Q51" s="176">
        <f t="shared" si="146"/>
        <v>59.591444080878141</v>
      </c>
      <c r="R51" s="176">
        <f t="shared" si="146"/>
        <v>29.797785294676252</v>
      </c>
      <c r="S51" s="163"/>
      <c r="T51" s="163"/>
      <c r="U51" s="163"/>
      <c r="V51" s="163"/>
      <c r="W51" s="163"/>
      <c r="X51" s="163"/>
      <c r="Y51" s="97"/>
      <c r="Z51" s="97"/>
      <c r="AA51" s="97"/>
      <c r="AB51" s="97"/>
      <c r="AC51" s="98"/>
      <c r="AD51" s="98"/>
      <c r="AE51" s="98"/>
      <c r="AF51" s="98"/>
      <c r="AG51" s="98"/>
      <c r="AH51" s="98"/>
      <c r="AI51" s="98"/>
      <c r="AJ51" s="98"/>
      <c r="AK51" s="98"/>
      <c r="AL51" s="98"/>
      <c r="AM51" s="98"/>
      <c r="AN51" s="98"/>
      <c r="AO51" s="98"/>
      <c r="AP51" s="98"/>
      <c r="AQ51" s="98"/>
      <c r="AR51" s="98"/>
      <c r="AS51" s="98"/>
      <c r="AT51" s="98"/>
      <c r="AU51" s="98"/>
      <c r="AV51" s="98"/>
      <c r="AW51" s="283"/>
      <c r="AX51" s="283"/>
      <c r="AY51" s="283"/>
      <c r="AZ51" s="283"/>
      <c r="BA51" s="283"/>
      <c r="BB51" s="167"/>
      <c r="BC51" s="122"/>
      <c r="BJ51" s="254"/>
      <c r="BK51" s="122"/>
    </row>
    <row r="52" spans="1:63" s="193" customFormat="1" ht="24" thickBot="1">
      <c r="A52" s="183"/>
      <c r="B52" s="184">
        <v>6</v>
      </c>
      <c r="C52" s="185" t="s">
        <v>98</v>
      </c>
      <c r="D52" s="186"/>
      <c r="E52" s="187"/>
      <c r="F52" s="186"/>
      <c r="G52" s="188"/>
      <c r="H52" s="188"/>
      <c r="I52" s="186"/>
      <c r="J52" s="189"/>
      <c r="K52" s="186"/>
      <c r="L52" s="186"/>
      <c r="M52" s="189"/>
      <c r="N52" s="189"/>
      <c r="O52" s="190"/>
      <c r="P52" s="189"/>
      <c r="Q52" s="187"/>
      <c r="R52" s="187"/>
      <c r="S52" s="196"/>
      <c r="T52" s="196"/>
      <c r="U52" s="196"/>
      <c r="V52" s="196"/>
      <c r="W52" s="196"/>
      <c r="X52" s="196"/>
      <c r="Y52" s="186"/>
      <c r="Z52" s="186"/>
      <c r="AA52" s="186"/>
      <c r="AB52" s="186"/>
      <c r="AC52" s="189"/>
      <c r="AD52" s="189"/>
      <c r="AE52" s="189"/>
      <c r="AF52" s="189"/>
      <c r="AG52" s="189"/>
      <c r="AH52" s="189"/>
      <c r="AI52" s="189"/>
      <c r="AJ52" s="189"/>
      <c r="AK52" s="189"/>
      <c r="AL52" s="189"/>
      <c r="AM52" s="189"/>
      <c r="AN52" s="189"/>
      <c r="AO52" s="189"/>
      <c r="AP52" s="189"/>
      <c r="AQ52" s="189"/>
      <c r="AR52" s="189"/>
      <c r="AS52" s="189"/>
      <c r="AT52" s="189"/>
      <c r="AU52" s="189"/>
      <c r="AV52" s="189"/>
      <c r="AW52" s="281"/>
      <c r="AX52" s="281"/>
      <c r="AY52" s="281"/>
      <c r="AZ52" s="281"/>
      <c r="BA52" s="281"/>
      <c r="BB52" s="197"/>
      <c r="BC52" s="192"/>
      <c r="BJ52" s="255"/>
      <c r="BK52" s="192"/>
    </row>
    <row r="53" spans="1:63" s="89" customFormat="1">
      <c r="A53" s="90">
        <v>20</v>
      </c>
      <c r="B53" s="300" t="s">
        <v>117</v>
      </c>
      <c r="C53" s="106" t="s">
        <v>118</v>
      </c>
      <c r="D53" s="91">
        <v>4.78</v>
      </c>
      <c r="E53" s="94">
        <v>4.1550000000000002</v>
      </c>
      <c r="F53" s="91">
        <v>9.1859999999999999</v>
      </c>
      <c r="G53" s="104">
        <f>D53*E53</f>
        <v>19.860900000000001</v>
      </c>
      <c r="H53" s="104">
        <f>D53*E53*F53*10.76</f>
        <v>1963.0783668240001</v>
      </c>
      <c r="I53" s="91">
        <v>30</v>
      </c>
      <c r="J53" s="92">
        <f>H53*I53/60</f>
        <v>981.53918341200006</v>
      </c>
      <c r="K53" s="91">
        <v>2</v>
      </c>
      <c r="L53" s="91">
        <v>0.5</v>
      </c>
      <c r="M53" s="92">
        <f>J53*0.1</f>
        <v>98.153918341200011</v>
      </c>
      <c r="N53" s="92">
        <f>J53*0</f>
        <v>0</v>
      </c>
      <c r="O53" s="93">
        <f>AV53</f>
        <v>426.79667286404464</v>
      </c>
      <c r="P53" s="92">
        <f>MAX(J53,O53)*1.1</f>
        <v>1079.6931017532002</v>
      </c>
      <c r="Q53" s="94">
        <f>AT53</f>
        <v>2.9190521599614838</v>
      </c>
      <c r="R53" s="94">
        <f>P53/400</f>
        <v>2.6992327543830004</v>
      </c>
      <c r="S53" s="301">
        <f>CEILING(MAX(SUM(Q53:Q55),SUM(R53:R55)),0.5)</f>
        <v>4.5</v>
      </c>
      <c r="T53" s="304">
        <f>S53*2.4</f>
        <v>10.799999999999999</v>
      </c>
      <c r="U53" s="304">
        <f>T53*0.0630902</f>
        <v>0.68137415999999995</v>
      </c>
      <c r="V53" s="304">
        <f>0.26*SQRT(T53)</f>
        <v>0.85444718970805911</v>
      </c>
      <c r="W53" s="304">
        <f>CEILING(V53,0.5)</f>
        <v>1</v>
      </c>
      <c r="X53" s="304" t="s">
        <v>101</v>
      </c>
      <c r="Y53" s="91">
        <v>24</v>
      </c>
      <c r="Z53" s="91">
        <v>55</v>
      </c>
      <c r="AA53" s="91">
        <v>106</v>
      </c>
      <c r="AB53" s="91">
        <f>CEILING((9*Y53/5)+32,1)</f>
        <v>76</v>
      </c>
      <c r="AC53" s="92">
        <f>(D53+E53)*2*10.76*F53*0.4*(AA53-AB53)</f>
        <v>21195.541238400001</v>
      </c>
      <c r="AD53" s="92">
        <f>(D53+E53)*2*10.76*F53*0.28*(AA53-AB53)</f>
        <v>14836.878866880003</v>
      </c>
      <c r="AE53" s="92">
        <f>D53*E53*0.4*10.76*(AA53-AB53)</f>
        <v>2564.4394080000002</v>
      </c>
      <c r="AF53" s="92">
        <f>D53*E53*0.4*10.76*(AA53-AB53)</f>
        <v>2564.4394080000002</v>
      </c>
      <c r="AG53" s="92">
        <f>D53*E53*1.75*10.76</f>
        <v>373.98074699999995</v>
      </c>
      <c r="AH53" s="92">
        <f>L53*(3.5/2)*1.08*0.88*(AA53-AB53)*1000</f>
        <v>24948</v>
      </c>
      <c r="AI53" s="92">
        <f>K53*285</f>
        <v>570</v>
      </c>
      <c r="AJ53" s="92">
        <f>(M53+N53)*0.12*1.08*(AA53-AB53)</f>
        <v>381.62243451058566</v>
      </c>
      <c r="AK53" s="92">
        <f>(AC53+AD53+AE53+AF53)*0+AG53+AH53+AI53+AJ53</f>
        <v>26273.603181510589</v>
      </c>
      <c r="AL53" s="92">
        <f>AK53*1</f>
        <v>26273.603181510589</v>
      </c>
      <c r="AM53" s="92">
        <f>K53*215</f>
        <v>430</v>
      </c>
      <c r="AN53" s="92">
        <f>(M53+N53)*0.68*0.12*(AA53-AB53)</f>
        <v>240.28079209925761</v>
      </c>
      <c r="AO53" s="92">
        <f>(AM53+AN53)*1</f>
        <v>670.28079209925761</v>
      </c>
      <c r="AP53" s="92">
        <f>AO53+AL53</f>
        <v>26943.883973609845</v>
      </c>
      <c r="AQ53" s="92">
        <f>(M53+N53)*0.88*1.08*(AA53-AB53)</f>
        <v>2798.564519744295</v>
      </c>
      <c r="AR53" s="92">
        <f>(M53+N53)*0.88*0.68*90</f>
        <v>5286.1774261836681</v>
      </c>
      <c r="AS53" s="92">
        <f>AL53+AO53+AQ53+AR53</f>
        <v>35028.625919537808</v>
      </c>
      <c r="AT53" s="92">
        <f>AS53/12000</f>
        <v>2.9190521599614838</v>
      </c>
      <c r="AU53" s="92">
        <v>49</v>
      </c>
      <c r="AV53" s="92">
        <f>AL53/(1.08*(AA53-AU53))</f>
        <v>426.79667286404464</v>
      </c>
      <c r="AW53" s="282">
        <v>100000</v>
      </c>
      <c r="AX53" s="282">
        <f t="shared" ref="AX53:AX54" si="147">CEILING(IF(AW53=20,P53*1/350,(IF(AWB53=5,P53*1/300,0))),2)</f>
        <v>0</v>
      </c>
      <c r="AY53" s="282">
        <f t="shared" ref="AY53" si="148">CEILING(IF(AW53=100000,P53*1/250,0),2)</f>
        <v>6</v>
      </c>
      <c r="AZ53" s="282">
        <f t="shared" ref="AZ53" si="149">CEILING(IF(AW53=10000,P53*1/225,(IF(AWB53=10000,P53*1/225,0))),2)</f>
        <v>0</v>
      </c>
      <c r="BA53" s="282">
        <f t="shared" ref="BA53:BA54" si="150">CEILING(IF(AW53=1000,P53*1/100,(IF(AWB53=100,P53*1/100,0))),2)</f>
        <v>0</v>
      </c>
      <c r="BB53" s="303">
        <f>CEILING(SUM(P53:P54),50)</f>
        <v>1750</v>
      </c>
      <c r="BC53" s="303">
        <v>150</v>
      </c>
      <c r="BD53" s="327"/>
      <c r="BE53" s="303">
        <v>5</v>
      </c>
      <c r="BF53" s="303">
        <f>CEILING(N56*1.1, 25)</f>
        <v>0</v>
      </c>
      <c r="BG53" s="303">
        <v>0</v>
      </c>
      <c r="BH53" s="303">
        <v>0</v>
      </c>
      <c r="BI53" s="303">
        <v>0</v>
      </c>
      <c r="BJ53" s="336">
        <f>BE53*(750/1000)+S53*0.8+BI53*(750/1000)</f>
        <v>7.35</v>
      </c>
      <c r="BK53" s="114">
        <f>U53*3.6</f>
        <v>2.4529469759999998</v>
      </c>
    </row>
    <row r="54" spans="1:63" s="95" customFormat="1">
      <c r="A54" s="90">
        <v>21</v>
      </c>
      <c r="B54" s="300"/>
      <c r="C54" s="106" t="s">
        <v>119</v>
      </c>
      <c r="D54" s="91">
        <v>4.78</v>
      </c>
      <c r="E54" s="94">
        <v>2.5</v>
      </c>
      <c r="F54" s="91">
        <v>9.1859999999999999</v>
      </c>
      <c r="G54" s="104">
        <f t="shared" ref="G54" si="151">D54*E54</f>
        <v>11.950000000000001</v>
      </c>
      <c r="H54" s="104">
        <f>D54*E54*F54*10.76</f>
        <v>1181.154252</v>
      </c>
      <c r="I54" s="91">
        <v>30</v>
      </c>
      <c r="J54" s="92">
        <f>H54*I54/60</f>
        <v>590.57712600000002</v>
      </c>
      <c r="K54" s="91">
        <v>0</v>
      </c>
      <c r="L54" s="91">
        <v>0</v>
      </c>
      <c r="M54" s="92">
        <f t="shared" ref="M54" si="152">J54*0.1</f>
        <v>59.057712600000002</v>
      </c>
      <c r="N54" s="92">
        <f t="shared" ref="N54" si="153">J54*0</f>
        <v>0</v>
      </c>
      <c r="O54" s="93">
        <f t="shared" ref="O54" si="154">AV54</f>
        <v>7.3852320758414551</v>
      </c>
      <c r="P54" s="92">
        <f t="shared" ref="P54" si="155">MAX(J54,O54)*1.1</f>
        <v>649.63483860000008</v>
      </c>
      <c r="Q54" s="94">
        <f t="shared" ref="Q54" si="156">AT54</f>
        <v>0.4553061532058667</v>
      </c>
      <c r="R54" s="94">
        <f t="shared" ref="R54" si="157">P54/400</f>
        <v>1.6240870965000003</v>
      </c>
      <c r="S54" s="301"/>
      <c r="T54" s="297"/>
      <c r="U54" s="297"/>
      <c r="V54" s="297"/>
      <c r="W54" s="297"/>
      <c r="X54" s="297"/>
      <c r="Y54" s="91">
        <v>24</v>
      </c>
      <c r="Z54" s="91">
        <v>55</v>
      </c>
      <c r="AA54" s="91">
        <v>106</v>
      </c>
      <c r="AB54" s="91">
        <f t="shared" ref="AB54" si="158">CEILING((9*Y54/5)+32,1)</f>
        <v>76</v>
      </c>
      <c r="AC54" s="92">
        <f>(D54+E54)*2*10.76*F54*0.4*(AA54-AB54)</f>
        <v>17269.562419200003</v>
      </c>
      <c r="AD54" s="92">
        <f>(D54+E54)*2*10.76*F54*0.28*(AA54-AB54)</f>
        <v>12088.693693440004</v>
      </c>
      <c r="AE54" s="92">
        <f>D54*E54*0.4*10.76*(AA54-AB54)</f>
        <v>1542.9839999999999</v>
      </c>
      <c r="AF54" s="92">
        <f>D54*E54*0.4*10.76*(AA54-AB54)</f>
        <v>1542.9839999999999</v>
      </c>
      <c r="AG54" s="92">
        <f>D54*E54*1.75*10.76</f>
        <v>225.01850000000002</v>
      </c>
      <c r="AH54" s="92">
        <f>L54*(3.5/2)*1.08*0.88*(AA54-AB54)*1000</f>
        <v>0</v>
      </c>
      <c r="AI54" s="92">
        <f>K54*285</f>
        <v>0</v>
      </c>
      <c r="AJ54" s="92">
        <f>(M54+N54)*0.12*1.08*(AA54-AB54)</f>
        <v>229.6163865888</v>
      </c>
      <c r="AK54" s="92">
        <f t="shared" ref="AK54" si="159">(AC54+AD54+AE54+AF54)*0+AG54+AH54+AI54+AJ54</f>
        <v>454.63488658879999</v>
      </c>
      <c r="AL54" s="92">
        <f t="shared" ref="AL54" si="160">AK54*1</f>
        <v>454.63488658879999</v>
      </c>
      <c r="AM54" s="92">
        <f>K54*215</f>
        <v>0</v>
      </c>
      <c r="AN54" s="92">
        <f>(M54+N54)*0.68*0.12*(AA54-AB54)</f>
        <v>144.57328044480002</v>
      </c>
      <c r="AO54" s="92">
        <f t="shared" ref="AO54" si="161">(AM54+AN54)*1</f>
        <v>144.57328044480002</v>
      </c>
      <c r="AP54" s="92">
        <f t="shared" ref="AP54" si="162">AO54+AL54</f>
        <v>599.20816703360003</v>
      </c>
      <c r="AQ54" s="92">
        <f>(M54+N54)*0.88*1.08*(AA54-AB54)</f>
        <v>1683.8535016512001</v>
      </c>
      <c r="AR54" s="92">
        <f>(M54+N54)*0.88*0.68*90</f>
        <v>3180.6121697856001</v>
      </c>
      <c r="AS54" s="92">
        <f t="shared" ref="AS54" si="163">AL54+AO54+AQ54+AR54</f>
        <v>5463.6738384704004</v>
      </c>
      <c r="AT54" s="92">
        <f t="shared" ref="AT54" si="164">AS54/12000</f>
        <v>0.4553061532058667</v>
      </c>
      <c r="AU54" s="92">
        <v>49</v>
      </c>
      <c r="AV54" s="92">
        <f t="shared" ref="AV54" si="165">AL54/(1.08*(AA54-AU54))</f>
        <v>7.3852320758414551</v>
      </c>
      <c r="AW54" s="282">
        <v>100000</v>
      </c>
      <c r="AX54" s="282">
        <f t="shared" si="147"/>
        <v>0</v>
      </c>
      <c r="AY54" s="282">
        <f t="shared" ref="AY54" si="166">CEILING(IF(AW54=100000,P54*1/250,0),2)</f>
        <v>4</v>
      </c>
      <c r="AZ54" s="282">
        <f t="shared" ref="AZ54" si="167">CEILING(IF(AW54=10000,P54*1/225,(IF(AWB54=10000,P54*1/225,0))),2)</f>
        <v>0</v>
      </c>
      <c r="BA54" s="282">
        <f t="shared" si="150"/>
        <v>0</v>
      </c>
      <c r="BB54" s="303"/>
      <c r="BC54" s="303"/>
      <c r="BD54" s="327"/>
      <c r="BE54" s="303"/>
      <c r="BF54" s="303"/>
      <c r="BG54" s="303"/>
      <c r="BH54" s="303"/>
      <c r="BI54" s="303"/>
      <c r="BJ54" s="336"/>
      <c r="BK54" s="115"/>
    </row>
    <row r="55" spans="1:63" s="95" customFormat="1" ht="24" thickBot="1">
      <c r="A55" s="90"/>
      <c r="B55" s="300"/>
      <c r="C55" s="106"/>
      <c r="D55" s="91"/>
      <c r="E55" s="94"/>
      <c r="F55" s="91"/>
      <c r="G55" s="104"/>
      <c r="H55" s="104"/>
      <c r="I55" s="91"/>
      <c r="J55" s="92"/>
      <c r="K55" s="91"/>
      <c r="L55" s="91"/>
      <c r="M55" s="92"/>
      <c r="N55" s="92"/>
      <c r="O55" s="93"/>
      <c r="P55" s="92"/>
      <c r="Q55" s="94"/>
      <c r="R55" s="94"/>
      <c r="S55" s="301"/>
      <c r="T55" s="298"/>
      <c r="U55" s="298"/>
      <c r="V55" s="298"/>
      <c r="W55" s="298"/>
      <c r="X55" s="298"/>
      <c r="Y55" s="91"/>
      <c r="Z55" s="91"/>
      <c r="AA55" s="91"/>
      <c r="AB55" s="91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282"/>
      <c r="AX55" s="282"/>
      <c r="AY55" s="282"/>
      <c r="AZ55" s="282"/>
      <c r="BA55" s="282"/>
      <c r="BB55" s="168"/>
      <c r="BC55" s="115"/>
      <c r="BJ55" s="256"/>
      <c r="BK55" s="115"/>
    </row>
    <row r="56" spans="1:63" s="101" customFormat="1" ht="24" thickBot="1">
      <c r="A56" s="96"/>
      <c r="B56" s="97"/>
      <c r="C56" s="139"/>
      <c r="D56" s="97"/>
      <c r="E56" s="99"/>
      <c r="F56" s="97"/>
      <c r="G56" s="173">
        <f>SUM(G53:G55)</f>
        <v>31.810900000000004</v>
      </c>
      <c r="H56" s="173">
        <f>SUM(H53:H55)</f>
        <v>3144.2326188240004</v>
      </c>
      <c r="I56" s="177"/>
      <c r="J56" s="175">
        <f t="shared" ref="J56:R56" si="168">SUM(J53:J55)</f>
        <v>1572.1163094120002</v>
      </c>
      <c r="K56" s="174">
        <f t="shared" si="168"/>
        <v>2</v>
      </c>
      <c r="L56" s="174">
        <f t="shared" si="168"/>
        <v>0.5</v>
      </c>
      <c r="M56" s="175">
        <f t="shared" si="168"/>
        <v>157.21163094120001</v>
      </c>
      <c r="N56" s="175">
        <f t="shared" si="168"/>
        <v>0</v>
      </c>
      <c r="O56" s="175">
        <f t="shared" si="168"/>
        <v>434.18190493988607</v>
      </c>
      <c r="P56" s="175">
        <f t="shared" si="168"/>
        <v>1729.3279403532001</v>
      </c>
      <c r="Q56" s="176">
        <f t="shared" si="168"/>
        <v>3.3743583131673507</v>
      </c>
      <c r="R56" s="176">
        <f t="shared" si="168"/>
        <v>4.3233198508830011</v>
      </c>
      <c r="S56" s="162"/>
      <c r="T56" s="162"/>
      <c r="U56" s="162"/>
      <c r="V56" s="162"/>
      <c r="W56" s="162"/>
      <c r="X56" s="162"/>
      <c r="Y56" s="97"/>
      <c r="Z56" s="97"/>
      <c r="AA56" s="97"/>
      <c r="AB56" s="97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98"/>
      <c r="AP56" s="98"/>
      <c r="AQ56" s="98"/>
      <c r="AR56" s="98"/>
      <c r="AS56" s="98"/>
      <c r="AT56" s="98"/>
      <c r="AU56" s="98"/>
      <c r="AV56" s="98"/>
      <c r="AW56" s="283"/>
      <c r="AX56" s="283"/>
      <c r="AY56" s="283"/>
      <c r="AZ56" s="283"/>
      <c r="BA56" s="283"/>
      <c r="BB56" s="166"/>
      <c r="BC56" s="122"/>
      <c r="BJ56" s="254"/>
      <c r="BK56" s="122"/>
    </row>
    <row r="57" spans="1:63" s="193" customFormat="1" ht="24" thickBot="1">
      <c r="A57" s="183"/>
      <c r="B57" s="184">
        <v>7</v>
      </c>
      <c r="C57" s="185" t="s">
        <v>98</v>
      </c>
      <c r="D57" s="186"/>
      <c r="E57" s="187"/>
      <c r="F57" s="186"/>
      <c r="G57" s="188"/>
      <c r="H57" s="188"/>
      <c r="I57" s="186"/>
      <c r="J57" s="189"/>
      <c r="K57" s="186"/>
      <c r="L57" s="186"/>
      <c r="M57" s="189"/>
      <c r="N57" s="189"/>
      <c r="O57" s="190"/>
      <c r="P57" s="189"/>
      <c r="Q57" s="187"/>
      <c r="R57" s="187"/>
      <c r="S57" s="196"/>
      <c r="T57" s="196"/>
      <c r="U57" s="196"/>
      <c r="V57" s="196"/>
      <c r="W57" s="196"/>
      <c r="X57" s="196"/>
      <c r="Y57" s="186"/>
      <c r="Z57" s="186"/>
      <c r="AA57" s="186"/>
      <c r="AB57" s="186"/>
      <c r="AC57" s="189"/>
      <c r="AD57" s="189"/>
      <c r="AE57" s="189"/>
      <c r="AF57" s="189"/>
      <c r="AG57" s="189"/>
      <c r="AH57" s="189"/>
      <c r="AI57" s="189"/>
      <c r="AJ57" s="189"/>
      <c r="AK57" s="189"/>
      <c r="AL57" s="189"/>
      <c r="AM57" s="189"/>
      <c r="AN57" s="189"/>
      <c r="AO57" s="189"/>
      <c r="AP57" s="189"/>
      <c r="AQ57" s="189"/>
      <c r="AR57" s="189"/>
      <c r="AS57" s="189"/>
      <c r="AT57" s="189"/>
      <c r="AU57" s="189"/>
      <c r="AV57" s="189"/>
      <c r="AW57" s="281"/>
      <c r="AX57" s="281"/>
      <c r="AY57" s="281"/>
      <c r="AZ57" s="281"/>
      <c r="BA57" s="281"/>
      <c r="BB57" s="195"/>
      <c r="BC57" s="192"/>
      <c r="BJ57" s="255"/>
      <c r="BK57" s="192"/>
    </row>
    <row r="58" spans="1:63" s="89" customFormat="1">
      <c r="A58" s="90">
        <v>22</v>
      </c>
      <c r="B58" s="300" t="s">
        <v>120</v>
      </c>
      <c r="C58" s="106" t="s">
        <v>100</v>
      </c>
      <c r="D58" s="91">
        <v>1.79</v>
      </c>
      <c r="E58" s="94">
        <v>2.4500000000000002</v>
      </c>
      <c r="F58" s="91">
        <v>9.1859999999999999</v>
      </c>
      <c r="G58" s="104">
        <f>D58*E58</f>
        <v>4.3855000000000004</v>
      </c>
      <c r="H58" s="104">
        <f>D58*E58*F58*10.76</f>
        <v>433.46878428000002</v>
      </c>
      <c r="I58" s="91">
        <v>30</v>
      </c>
      <c r="J58" s="92">
        <f>H58*I58/60</f>
        <v>216.73439214000001</v>
      </c>
      <c r="K58" s="91">
        <v>0</v>
      </c>
      <c r="L58" s="91">
        <v>0</v>
      </c>
      <c r="M58" s="92">
        <f>J58*0.1</f>
        <v>21.673439214000002</v>
      </c>
      <c r="N58" s="92">
        <f>J58*0</f>
        <v>0</v>
      </c>
      <c r="O58" s="93">
        <f>AV58</f>
        <v>2.7102874701759587</v>
      </c>
      <c r="P58" s="92">
        <f>MAX(J58,O58)*1.1</f>
        <v>238.40783135400002</v>
      </c>
      <c r="Q58" s="94">
        <f>AT58</f>
        <v>0.16709164308655469</v>
      </c>
      <c r="R58" s="94">
        <f>P58/400</f>
        <v>0.59601957838500008</v>
      </c>
      <c r="S58" s="301">
        <f>CEILING(MAX(SUM(Q58:Q61),SUM(R58:R61)),0.5)</f>
        <v>23</v>
      </c>
      <c r="T58" s="304">
        <f>S58*2.4</f>
        <v>55.199999999999996</v>
      </c>
      <c r="U58" s="304">
        <f>T58*0.0630902</f>
        <v>3.4825790399999996</v>
      </c>
      <c r="V58" s="304">
        <f>0.26*SQRT(T58)</f>
        <v>1.9317142645846979</v>
      </c>
      <c r="W58" s="304">
        <f>CEILING(V58,0.5)</f>
        <v>2</v>
      </c>
      <c r="X58" s="304" t="s">
        <v>101</v>
      </c>
      <c r="Y58" s="91">
        <v>24</v>
      </c>
      <c r="Z58" s="91">
        <v>55</v>
      </c>
      <c r="AA58" s="91">
        <v>106</v>
      </c>
      <c r="AB58" s="91">
        <f>CEILING((9*Y58/5)+32,1)</f>
        <v>76</v>
      </c>
      <c r="AC58" s="92">
        <f>(D58+E58)*2*10.76*F58*0.4*(AA58-AB58)</f>
        <v>10058.0967936</v>
      </c>
      <c r="AD58" s="92">
        <f>(D58+E58)*2*10.76*F58*0.28*(AA58-AB58)</f>
        <v>7040.6677555200004</v>
      </c>
      <c r="AE58" s="92">
        <f>D58*E58*0.4*10.76*(AA58-AB58)</f>
        <v>566.25576000000001</v>
      </c>
      <c r="AF58" s="92">
        <f>D58*E58*0.4*10.76*(AA58-AB58)</f>
        <v>566.25576000000001</v>
      </c>
      <c r="AG58" s="92">
        <f>D58*E58*1.75*10.76</f>
        <v>82.578965000000011</v>
      </c>
      <c r="AH58" s="92">
        <f>L58*(3.5/2)*1.08*0.88*(AA58-AB58)*1000</f>
        <v>0</v>
      </c>
      <c r="AI58" s="92">
        <f>K58*285</f>
        <v>0</v>
      </c>
      <c r="AJ58" s="92">
        <f>(M58+N58)*0.12*1.08*(AA58-AB58)</f>
        <v>84.266331664032009</v>
      </c>
      <c r="AK58" s="92">
        <f>(AC58+AD58+AE58+AF58)*0+AG58+AH58+AI58+AJ58</f>
        <v>166.84529666403202</v>
      </c>
      <c r="AL58" s="92">
        <f>AK58*1</f>
        <v>166.84529666403202</v>
      </c>
      <c r="AM58" s="92">
        <f>K58*215</f>
        <v>0</v>
      </c>
      <c r="AN58" s="92">
        <f>(M58+N58)*0.68*0.12*(AA58-AB58)</f>
        <v>53.056579195872004</v>
      </c>
      <c r="AO58" s="92">
        <f>(AM58+AN58)*1</f>
        <v>53.056579195872004</v>
      </c>
      <c r="AP58" s="92">
        <f>AO58+AL58</f>
        <v>219.90187585990401</v>
      </c>
      <c r="AQ58" s="92">
        <f>(M58+N58)*0.88*1.08*(AA58-AB58)</f>
        <v>617.95309886956807</v>
      </c>
      <c r="AR58" s="92">
        <f>(M58+N58)*0.88*0.68*90</f>
        <v>1167.2447423091842</v>
      </c>
      <c r="AS58" s="92">
        <f>AL58+AO58+AQ58+AR58</f>
        <v>2005.0997170386563</v>
      </c>
      <c r="AT58" s="92">
        <f>AS58/12000</f>
        <v>0.16709164308655469</v>
      </c>
      <c r="AU58" s="92">
        <v>49</v>
      </c>
      <c r="AV58" s="92">
        <f>AL58/(1.08*(AA58-AU58))</f>
        <v>2.7102874701759587</v>
      </c>
      <c r="AW58" s="282">
        <v>100000</v>
      </c>
      <c r="AX58" s="282">
        <f t="shared" ref="AX58:AX61" si="169">CEILING(IF(AW58=20,P58*1/350,(IF(AWB58=5,P58*1/300,0))),2)</f>
        <v>0</v>
      </c>
      <c r="AY58" s="282">
        <f t="shared" ref="AY58" si="170">CEILING(IF(AW58=100000,P58*1/250,0),2)</f>
        <v>2</v>
      </c>
      <c r="AZ58" s="282">
        <f t="shared" ref="AZ58" si="171">CEILING(IF(AW58=10000,P58*1/225,(IF(AWB58=10000,P58*1/225,0))),2)</f>
        <v>0</v>
      </c>
      <c r="BA58" s="282">
        <f t="shared" ref="BA58:BA61" si="172">CEILING(IF(AW58=1000,P58*1/100,(IF(AWB58=100,P58*1/100,0))),2)</f>
        <v>0</v>
      </c>
      <c r="BB58" s="303">
        <f>CEILING(SUM(P58:P61),50)</f>
        <v>5000</v>
      </c>
      <c r="BC58" s="303">
        <v>150</v>
      </c>
      <c r="BD58" s="327"/>
      <c r="BE58" s="303">
        <v>7.5</v>
      </c>
      <c r="BF58" s="303">
        <f>CEILING(N62*1.1, 25)</f>
        <v>150</v>
      </c>
      <c r="BG58" s="303">
        <v>0</v>
      </c>
      <c r="BH58" s="303">
        <v>0</v>
      </c>
      <c r="BI58" s="303">
        <v>0</v>
      </c>
      <c r="BJ58" s="336">
        <f>BE58*(750/1000)+S58*0.8+BI58*(750/1000)</f>
        <v>24.025000000000002</v>
      </c>
      <c r="BK58" s="114">
        <f>U58*3.6</f>
        <v>12.537284543999998</v>
      </c>
    </row>
    <row r="59" spans="1:63" s="95" customFormat="1">
      <c r="A59" s="90">
        <v>23</v>
      </c>
      <c r="B59" s="300"/>
      <c r="C59" s="106" t="s">
        <v>121</v>
      </c>
      <c r="D59" s="91">
        <v>2.9</v>
      </c>
      <c r="E59" s="94">
        <v>4.8109999999999999</v>
      </c>
      <c r="F59" s="91">
        <v>11.483000000000001</v>
      </c>
      <c r="G59" s="104">
        <f t="shared" ref="G59:G61" si="173">D59*E59</f>
        <v>13.9519</v>
      </c>
      <c r="H59" s="104">
        <f t="shared" ref="H59:H61" si="174">D59*E59*F59*10.76</f>
        <v>1723.8560244520002</v>
      </c>
      <c r="I59" s="91">
        <v>30</v>
      </c>
      <c r="J59" s="92">
        <f t="shared" ref="J59:J61" si="175">H59*I59/60</f>
        <v>861.92801222600008</v>
      </c>
      <c r="K59" s="91">
        <v>2</v>
      </c>
      <c r="L59" s="91">
        <v>5</v>
      </c>
      <c r="M59" s="92">
        <f t="shared" ref="M59:M61" si="176">J59*0.1</f>
        <v>86.192801222600011</v>
      </c>
      <c r="N59" s="92">
        <f t="shared" ref="N59" si="177">J59*0</f>
        <v>0</v>
      </c>
      <c r="O59" s="93">
        <f t="shared" ref="O59:O61" si="178">AV59</f>
        <v>4071.6022074099005</v>
      </c>
      <c r="P59" s="92">
        <f t="shared" ref="P59:P61" si="179">MAX(J59,O59)*1.1</f>
        <v>4478.7624281508906</v>
      </c>
      <c r="Q59" s="94">
        <f t="shared" ref="Q59:Q61" si="180">AT59</f>
        <v>21.532363376387462</v>
      </c>
      <c r="R59" s="94">
        <f t="shared" ref="R59:R61" si="181">P59/400</f>
        <v>11.196906070377226</v>
      </c>
      <c r="S59" s="301"/>
      <c r="T59" s="297"/>
      <c r="U59" s="297"/>
      <c r="V59" s="297"/>
      <c r="W59" s="297"/>
      <c r="X59" s="297"/>
      <c r="Y59" s="91">
        <v>24</v>
      </c>
      <c r="Z59" s="91">
        <v>55</v>
      </c>
      <c r="AA59" s="91">
        <v>106</v>
      </c>
      <c r="AB59" s="91">
        <f t="shared" ref="AB59:AB61" si="182">CEILING((9*Y59/5)+32,1)</f>
        <v>76</v>
      </c>
      <c r="AC59" s="92">
        <f>(D59+E59)*2*10.76*F59*0.4*(AA59-AB59)</f>
        <v>22865.967453120003</v>
      </c>
      <c r="AD59" s="92">
        <f>(D59+E59)*2*10.76*F59*0.28*(AA59-AB59)</f>
        <v>16006.177217184002</v>
      </c>
      <c r="AE59" s="92">
        <f>D59*E59*0.4*10.76*(AA59-AB59)</f>
        <v>1801.4693280000001</v>
      </c>
      <c r="AF59" s="92">
        <f>D59*E59*0.4*10.76*(AA59-AB59)</f>
        <v>1801.4693280000001</v>
      </c>
      <c r="AG59" s="92">
        <f>D59*E59*1.75*10.76</f>
        <v>262.71427700000004</v>
      </c>
      <c r="AH59" s="92">
        <f>L59*(3.5/2)*1.08*0.88*(AA59-AB59)*1000</f>
        <v>249480.00000000003</v>
      </c>
      <c r="AI59" s="92">
        <f>K59*285</f>
        <v>570</v>
      </c>
      <c r="AJ59" s="92">
        <f>(M59+N59)*0.12*1.08*(AA59-AB59)</f>
        <v>335.11761115346883</v>
      </c>
      <c r="AK59" s="92">
        <f t="shared" ref="AK59:AK61" si="183">(AC59+AD59+AE59+AF59)*0+AG59+AH59+AI59+AJ59</f>
        <v>250647.83188815348</v>
      </c>
      <c r="AL59" s="92">
        <f t="shared" ref="AL59:AL61" si="184">AK59*1</f>
        <v>250647.83188815348</v>
      </c>
      <c r="AM59" s="92">
        <f>K59*215</f>
        <v>430</v>
      </c>
      <c r="AN59" s="92">
        <f>(M59+N59)*0.68*0.12*(AA59-AB59)</f>
        <v>210.99997739292482</v>
      </c>
      <c r="AO59" s="92">
        <f t="shared" ref="AO59:AO61" si="185">(AM59+AN59)*1</f>
        <v>640.99997739292485</v>
      </c>
      <c r="AP59" s="92">
        <f t="shared" ref="AP59:AP61" si="186">AO59+AL59</f>
        <v>251288.83186554641</v>
      </c>
      <c r="AQ59" s="92">
        <f>(M59+N59)*0.88*1.08*(AA59-AB59)</f>
        <v>2457.5291484587715</v>
      </c>
      <c r="AR59" s="92">
        <f>(M59+N59)*0.88*0.68*90</f>
        <v>4641.9995026443466</v>
      </c>
      <c r="AS59" s="92">
        <f t="shared" ref="AS59:AS61" si="187">AL59+AO59+AQ59+AR59</f>
        <v>258388.36051664953</v>
      </c>
      <c r="AT59" s="92">
        <f t="shared" ref="AT59:AT61" si="188">AS59/12000</f>
        <v>21.532363376387462</v>
      </c>
      <c r="AU59" s="92">
        <v>49</v>
      </c>
      <c r="AV59" s="92">
        <f t="shared" ref="AV59:AV61" si="189">AL59/(1.08*(AA59-AU59))</f>
        <v>4071.6022074099005</v>
      </c>
      <c r="AW59" s="282">
        <v>100000</v>
      </c>
      <c r="AX59" s="282">
        <f t="shared" si="169"/>
        <v>0</v>
      </c>
      <c r="AY59" s="282">
        <f t="shared" ref="AY59:AY61" si="190">CEILING(IF(AW59=100000,P59*1/250,0),2)</f>
        <v>18</v>
      </c>
      <c r="AZ59" s="282">
        <f t="shared" ref="AZ59:AZ61" si="191">CEILING(IF(AW59=10000,P59*1/225,(IF(AWB59=10000,P59*1/225,0))),2)</f>
        <v>0</v>
      </c>
      <c r="BA59" s="282">
        <f t="shared" si="172"/>
        <v>0</v>
      </c>
      <c r="BB59" s="303"/>
      <c r="BC59" s="303"/>
      <c r="BD59" s="327"/>
      <c r="BE59" s="303"/>
      <c r="BF59" s="303"/>
      <c r="BG59" s="303"/>
      <c r="BH59" s="303"/>
      <c r="BI59" s="303"/>
      <c r="BJ59" s="336"/>
      <c r="BK59" s="115"/>
    </row>
    <row r="60" spans="1:63" s="95" customFormat="1">
      <c r="A60" s="90">
        <v>24</v>
      </c>
      <c r="B60" s="300"/>
      <c r="C60" s="106" t="s">
        <v>121</v>
      </c>
      <c r="D60" s="91">
        <v>1.89</v>
      </c>
      <c r="E60" s="94">
        <v>0.88</v>
      </c>
      <c r="F60" s="91">
        <v>11.483000000000001</v>
      </c>
      <c r="G60" s="104">
        <f t="shared" si="173"/>
        <v>1.6632</v>
      </c>
      <c r="H60" s="104">
        <f t="shared" si="174"/>
        <v>205.50013545600001</v>
      </c>
      <c r="I60" s="91">
        <v>30</v>
      </c>
      <c r="J60" s="92">
        <f t="shared" si="175"/>
        <v>102.750067728</v>
      </c>
      <c r="K60" s="91">
        <v>0</v>
      </c>
      <c r="L60" s="91">
        <v>0</v>
      </c>
      <c r="M60" s="92">
        <f t="shared" si="176"/>
        <v>10.275006772800001</v>
      </c>
      <c r="N60" s="92">
        <f>J60*0</f>
        <v>0</v>
      </c>
      <c r="O60" s="93">
        <f t="shared" si="178"/>
        <v>1.157688147054035</v>
      </c>
      <c r="P60" s="92">
        <f t="shared" si="179"/>
        <v>113.02507450080002</v>
      </c>
      <c r="Q60" s="94">
        <f t="shared" si="180"/>
        <v>7.8562688064537617E-2</v>
      </c>
      <c r="R60" s="94">
        <f t="shared" si="181"/>
        <v>0.28256268625200004</v>
      </c>
      <c r="S60" s="301"/>
      <c r="T60" s="297"/>
      <c r="U60" s="297"/>
      <c r="V60" s="297"/>
      <c r="W60" s="297"/>
      <c r="X60" s="297"/>
      <c r="Y60" s="91">
        <v>24</v>
      </c>
      <c r="Z60" s="91">
        <v>55</v>
      </c>
      <c r="AA60" s="91">
        <v>106</v>
      </c>
      <c r="AB60" s="91">
        <f t="shared" si="182"/>
        <v>76</v>
      </c>
      <c r="AC60" s="92">
        <f>(D60+E60)*2*10.76*F60*0.4*(AA60-AB60)</f>
        <v>8214.0746784000003</v>
      </c>
      <c r="AD60" s="92">
        <f>(D60+E60)*2*10.76*F60*0.28*(AA60-AB60)</f>
        <v>5749.8522748800006</v>
      </c>
      <c r="AE60" s="92">
        <f>D60*E60*0.4*10.76*(AA60-AB60)</f>
        <v>214.75238400000001</v>
      </c>
      <c r="AF60" s="92">
        <f>D60*E60*0.4*10.76*(AA60-AB60)</f>
        <v>214.75238400000001</v>
      </c>
      <c r="AG60" s="92">
        <f>D60*E60*1.75*10.76</f>
        <v>31.318055999999999</v>
      </c>
      <c r="AH60" s="92">
        <f>L60*(3.5/2)*1.08*0.88*(AA60-AB60)*1000</f>
        <v>0</v>
      </c>
      <c r="AI60" s="92">
        <f>K60*285</f>
        <v>0</v>
      </c>
      <c r="AJ60" s="92">
        <f>(M60+N60)*0.12*1.08*(AA60-AB60)</f>
        <v>39.949226332646411</v>
      </c>
      <c r="AK60" s="92">
        <f t="shared" si="183"/>
        <v>71.267282332646403</v>
      </c>
      <c r="AL60" s="92">
        <f t="shared" si="184"/>
        <v>71.267282332646403</v>
      </c>
      <c r="AM60" s="92">
        <f>K60*215</f>
        <v>0</v>
      </c>
      <c r="AN60" s="92">
        <f>(M60+N60)*0.68*0.12*(AA60-AB60)</f>
        <v>25.153216579814405</v>
      </c>
      <c r="AO60" s="92">
        <f t="shared" si="185"/>
        <v>25.153216579814405</v>
      </c>
      <c r="AP60" s="92">
        <f t="shared" si="186"/>
        <v>96.420498912460801</v>
      </c>
      <c r="AQ60" s="92">
        <f>(M60+N60)*0.88*1.08*(AA60-AB60)</f>
        <v>292.96099310607366</v>
      </c>
      <c r="AR60" s="92">
        <f>(M60+N60)*0.88*0.68*90</f>
        <v>553.37076475591687</v>
      </c>
      <c r="AS60" s="92">
        <f t="shared" si="187"/>
        <v>942.75225677445133</v>
      </c>
      <c r="AT60" s="92">
        <f t="shared" si="188"/>
        <v>7.8562688064537617E-2</v>
      </c>
      <c r="AU60" s="92">
        <v>49</v>
      </c>
      <c r="AV60" s="92">
        <f t="shared" si="189"/>
        <v>1.157688147054035</v>
      </c>
      <c r="AW60" s="282">
        <v>100000</v>
      </c>
      <c r="AX60" s="282">
        <f t="shared" si="169"/>
        <v>0</v>
      </c>
      <c r="AY60" s="282">
        <f t="shared" si="190"/>
        <v>2</v>
      </c>
      <c r="AZ60" s="282">
        <f t="shared" si="191"/>
        <v>0</v>
      </c>
      <c r="BA60" s="282">
        <f t="shared" si="172"/>
        <v>0</v>
      </c>
      <c r="BB60" s="303"/>
      <c r="BC60" s="303"/>
      <c r="BD60" s="327"/>
      <c r="BE60" s="303"/>
      <c r="BF60" s="303"/>
      <c r="BG60" s="303"/>
      <c r="BH60" s="303"/>
      <c r="BI60" s="303"/>
      <c r="BJ60" s="336"/>
      <c r="BK60" s="115"/>
    </row>
    <row r="61" spans="1:63" s="95" customFormat="1" ht="15.75" thickBot="1">
      <c r="A61" s="90">
        <v>25</v>
      </c>
      <c r="B61" s="300"/>
      <c r="C61" s="106" t="s">
        <v>105</v>
      </c>
      <c r="D61" s="91">
        <v>1.79</v>
      </c>
      <c r="E61" s="94">
        <v>1.359</v>
      </c>
      <c r="F61" s="91">
        <v>9.1859999999999999</v>
      </c>
      <c r="G61" s="104">
        <f t="shared" si="173"/>
        <v>2.4326099999999999</v>
      </c>
      <c r="H61" s="104">
        <f t="shared" si="174"/>
        <v>240.44248074959998</v>
      </c>
      <c r="I61" s="91">
        <v>30</v>
      </c>
      <c r="J61" s="92">
        <f t="shared" si="175"/>
        <v>120.22124037479999</v>
      </c>
      <c r="K61" s="91">
        <v>0</v>
      </c>
      <c r="L61" s="91">
        <v>0</v>
      </c>
      <c r="M61" s="92">
        <f t="shared" si="176"/>
        <v>12.022124037479999</v>
      </c>
      <c r="N61" s="92">
        <f>J61*1</f>
        <v>120.22124037479999</v>
      </c>
      <c r="O61" s="93">
        <f t="shared" si="178"/>
        <v>9.0963003108340583</v>
      </c>
      <c r="P61" s="92">
        <f t="shared" si="179"/>
        <v>132.24336441227999</v>
      </c>
      <c r="Q61" s="94">
        <f t="shared" si="180"/>
        <v>0.98136012026057384</v>
      </c>
      <c r="R61" s="94">
        <f t="shared" si="181"/>
        <v>0.33060841103069999</v>
      </c>
      <c r="S61" s="301"/>
      <c r="T61" s="298"/>
      <c r="U61" s="298"/>
      <c r="V61" s="298"/>
      <c r="W61" s="298"/>
      <c r="X61" s="298"/>
      <c r="Y61" s="91">
        <v>24</v>
      </c>
      <c r="Z61" s="91" t="s">
        <v>106</v>
      </c>
      <c r="AA61" s="91">
        <v>106</v>
      </c>
      <c r="AB61" s="91">
        <f t="shared" si="182"/>
        <v>76</v>
      </c>
      <c r="AC61" s="92">
        <f>(D61+E61)*2*10.76*F61*0.4*(AA61-AB61)</f>
        <v>7470.0346233599994</v>
      </c>
      <c r="AD61" s="92">
        <f>(D61+E61)*2*10.76*F61*0.28*(AA61-AB61)</f>
        <v>5229.0242363520001</v>
      </c>
      <c r="AE61" s="92">
        <f>D61*E61*0.4*10.76*(AA61-AB61)</f>
        <v>314.09860319999996</v>
      </c>
      <c r="AF61" s="92">
        <f>D61*E61*0.4*10.76*(AA61-AB61)</f>
        <v>314.09860319999996</v>
      </c>
      <c r="AG61" s="92">
        <f>D61*E61*1.75*10.76</f>
        <v>45.806046299999998</v>
      </c>
      <c r="AH61" s="92">
        <f>L61*(3.5/2)*1.08*0.88*(AA61-AB61)*1000</f>
        <v>0</v>
      </c>
      <c r="AI61" s="92">
        <f>K61*285</f>
        <v>0</v>
      </c>
      <c r="AJ61" s="92">
        <f>(M61+N61)*0.12*1.08*(AA61-AB61)</f>
        <v>514.16220083494466</v>
      </c>
      <c r="AK61" s="92">
        <f t="shared" si="183"/>
        <v>559.9682471349447</v>
      </c>
      <c r="AL61" s="92">
        <f t="shared" si="184"/>
        <v>559.9682471349447</v>
      </c>
      <c r="AM61" s="92">
        <f>K61*215</f>
        <v>0</v>
      </c>
      <c r="AN61" s="92">
        <f>(M61+N61)*0.68*0.12*(AA61-AB61)</f>
        <v>323.73175608126144</v>
      </c>
      <c r="AO61" s="92">
        <f t="shared" si="185"/>
        <v>323.73175608126144</v>
      </c>
      <c r="AP61" s="92">
        <f t="shared" si="186"/>
        <v>883.70000321620614</v>
      </c>
      <c r="AQ61" s="92">
        <f>(M61+N61)*0.88*1.08*(AA61-AB61)</f>
        <v>3770.5228061229272</v>
      </c>
      <c r="AR61" s="92">
        <f>(M61+N61)*0.88*0.68*90</f>
        <v>7122.0986337877521</v>
      </c>
      <c r="AS61" s="92">
        <f t="shared" si="187"/>
        <v>11776.321443126886</v>
      </c>
      <c r="AT61" s="92">
        <f t="shared" si="188"/>
        <v>0.98136012026057384</v>
      </c>
      <c r="AU61" s="92">
        <v>49</v>
      </c>
      <c r="AV61" s="92">
        <f t="shared" si="189"/>
        <v>9.0963003108340583</v>
      </c>
      <c r="AW61" s="282">
        <v>100000</v>
      </c>
      <c r="AX61" s="282">
        <f t="shared" si="169"/>
        <v>0</v>
      </c>
      <c r="AY61" s="282">
        <f t="shared" si="190"/>
        <v>2</v>
      </c>
      <c r="AZ61" s="282">
        <f t="shared" si="191"/>
        <v>0</v>
      </c>
      <c r="BA61" s="282">
        <f t="shared" si="172"/>
        <v>0</v>
      </c>
      <c r="BB61" s="303"/>
      <c r="BC61" s="303"/>
      <c r="BD61" s="327"/>
      <c r="BE61" s="303"/>
      <c r="BF61" s="303"/>
      <c r="BG61" s="303"/>
      <c r="BH61" s="303"/>
      <c r="BI61" s="303"/>
      <c r="BJ61" s="336"/>
      <c r="BK61" s="115"/>
    </row>
    <row r="62" spans="1:63" s="101" customFormat="1" ht="24" thickBot="1">
      <c r="A62" s="90"/>
      <c r="B62" s="91"/>
      <c r="C62" s="107"/>
      <c r="D62" s="91"/>
      <c r="E62" s="94"/>
      <c r="F62" s="91"/>
      <c r="G62" s="178">
        <f>SUM(G58:G61)</f>
        <v>22.433210000000003</v>
      </c>
      <c r="H62" s="178">
        <f>SUM(H58:H61)</f>
        <v>2603.2674249376</v>
      </c>
      <c r="I62" s="179"/>
      <c r="J62" s="180">
        <f t="shared" ref="J62:R62" si="192">SUM(J58:J61)</f>
        <v>1301.6337124688</v>
      </c>
      <c r="K62" s="181">
        <f t="shared" si="192"/>
        <v>2</v>
      </c>
      <c r="L62" s="181">
        <f t="shared" si="192"/>
        <v>5</v>
      </c>
      <c r="M62" s="180">
        <f t="shared" si="192"/>
        <v>130.16337124688002</v>
      </c>
      <c r="N62" s="180">
        <f t="shared" si="192"/>
        <v>120.22124037479999</v>
      </c>
      <c r="O62" s="180">
        <f t="shared" si="192"/>
        <v>4084.5664833379647</v>
      </c>
      <c r="P62" s="180">
        <f t="shared" si="192"/>
        <v>4962.438698417971</v>
      </c>
      <c r="Q62" s="182">
        <f t="shared" si="192"/>
        <v>22.759377827799128</v>
      </c>
      <c r="R62" s="182">
        <f t="shared" si="192"/>
        <v>12.406096746044927</v>
      </c>
      <c r="S62" s="164"/>
      <c r="T62" s="164"/>
      <c r="U62" s="164"/>
      <c r="V62" s="164"/>
      <c r="W62" s="164"/>
      <c r="X62" s="164"/>
      <c r="Y62" s="91"/>
      <c r="Z62" s="91"/>
      <c r="AA62" s="91"/>
      <c r="AB62" s="91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282"/>
      <c r="AX62" s="282"/>
      <c r="AY62" s="282"/>
      <c r="AZ62" s="282"/>
      <c r="BA62" s="282"/>
      <c r="BB62" s="169"/>
      <c r="BC62" s="122"/>
      <c r="BJ62" s="254"/>
      <c r="BK62" s="122"/>
    </row>
    <row r="63" spans="1:63" s="101" customFormat="1" ht="11.25" customHeight="1" thickBot="1">
      <c r="A63" s="96"/>
      <c r="B63" s="97"/>
      <c r="C63" s="139"/>
      <c r="D63" s="97"/>
      <c r="E63" s="99"/>
      <c r="F63" s="308"/>
      <c r="G63" s="308"/>
      <c r="H63" s="308"/>
      <c r="I63" s="308"/>
      <c r="J63" s="118"/>
      <c r="K63" s="119"/>
      <c r="L63" s="119"/>
      <c r="M63" s="118"/>
      <c r="N63" s="118"/>
      <c r="O63" s="120"/>
      <c r="P63" s="118"/>
      <c r="Q63" s="121"/>
      <c r="R63" s="121"/>
      <c r="S63" s="162"/>
      <c r="T63" s="162"/>
      <c r="U63" s="162"/>
      <c r="V63" s="162"/>
      <c r="W63" s="162"/>
      <c r="X63" s="162"/>
      <c r="Y63" s="97"/>
      <c r="Z63" s="97"/>
      <c r="AA63" s="97"/>
      <c r="AB63" s="97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283"/>
      <c r="AX63" s="283"/>
      <c r="AY63" s="283"/>
      <c r="AZ63" s="283"/>
      <c r="BA63" s="283"/>
      <c r="BB63" s="166"/>
      <c r="BC63" s="122"/>
      <c r="BJ63" s="254"/>
      <c r="BK63" s="122"/>
    </row>
    <row r="64" spans="1:63" s="193" customFormat="1" ht="24" thickBot="1">
      <c r="A64" s="183"/>
      <c r="B64" s="184">
        <v>8</v>
      </c>
      <c r="C64" s="185" t="s">
        <v>122</v>
      </c>
      <c r="D64" s="186"/>
      <c r="E64" s="187"/>
      <c r="F64" s="186"/>
      <c r="G64" s="188"/>
      <c r="H64" s="188"/>
      <c r="I64" s="186"/>
      <c r="J64" s="198"/>
      <c r="K64" s="199"/>
      <c r="L64" s="199"/>
      <c r="M64" s="198"/>
      <c r="N64" s="198"/>
      <c r="O64" s="200"/>
      <c r="P64" s="198"/>
      <c r="Q64" s="201"/>
      <c r="R64" s="201"/>
      <c r="S64" s="202"/>
      <c r="T64" s="202"/>
      <c r="U64" s="202"/>
      <c r="V64" s="202"/>
      <c r="W64" s="202"/>
      <c r="X64" s="202"/>
      <c r="Y64" s="186"/>
      <c r="Z64" s="186"/>
      <c r="AA64" s="186"/>
      <c r="AB64" s="186"/>
      <c r="AC64" s="189"/>
      <c r="AD64" s="189"/>
      <c r="AE64" s="189"/>
      <c r="AF64" s="189"/>
      <c r="AG64" s="189"/>
      <c r="AH64" s="189"/>
      <c r="AI64" s="189"/>
      <c r="AJ64" s="189"/>
      <c r="AK64" s="189"/>
      <c r="AL64" s="189"/>
      <c r="AM64" s="189"/>
      <c r="AN64" s="189"/>
      <c r="AO64" s="189"/>
      <c r="AP64" s="189"/>
      <c r="AQ64" s="189"/>
      <c r="AR64" s="189"/>
      <c r="AS64" s="189"/>
      <c r="AT64" s="189"/>
      <c r="AU64" s="189"/>
      <c r="AV64" s="189"/>
      <c r="AW64" s="281"/>
      <c r="AX64" s="281"/>
      <c r="AY64" s="281"/>
      <c r="AZ64" s="281"/>
      <c r="BA64" s="281"/>
      <c r="BB64" s="195"/>
      <c r="BC64" s="192"/>
      <c r="BJ64" s="255"/>
      <c r="BK64" s="192"/>
    </row>
    <row r="65" spans="1:63" s="95" customFormat="1" ht="23.25">
      <c r="A65" s="90"/>
      <c r="B65" s="105"/>
      <c r="C65" s="107" t="s">
        <v>123</v>
      </c>
      <c r="D65" s="91"/>
      <c r="E65" s="94"/>
      <c r="F65" s="91"/>
      <c r="G65" s="104"/>
      <c r="H65" s="104"/>
      <c r="I65" s="91"/>
      <c r="J65" s="109"/>
      <c r="K65" s="108"/>
      <c r="L65" s="108"/>
      <c r="M65" s="109"/>
      <c r="N65" s="109"/>
      <c r="O65" s="110"/>
      <c r="P65" s="109"/>
      <c r="Q65" s="157"/>
      <c r="R65" s="157"/>
      <c r="S65" s="165"/>
      <c r="T65" s="165"/>
      <c r="U65" s="165"/>
      <c r="V65" s="165"/>
      <c r="W65" s="165"/>
      <c r="X65" s="165"/>
      <c r="Y65" s="91"/>
      <c r="Z65" s="91"/>
      <c r="AA65" s="91"/>
      <c r="AB65" s="91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282"/>
      <c r="AX65" s="282"/>
      <c r="AY65" s="282"/>
      <c r="AZ65" s="282"/>
      <c r="BA65" s="282"/>
      <c r="BB65" s="170"/>
      <c r="BC65" s="115"/>
      <c r="BJ65" s="256"/>
      <c r="BK65" s="115"/>
    </row>
    <row r="66" spans="1:63" s="95" customFormat="1" ht="24.75" customHeight="1">
      <c r="A66" s="90">
        <v>26</v>
      </c>
      <c r="B66" s="305" t="s">
        <v>124</v>
      </c>
      <c r="C66" s="106" t="s">
        <v>125</v>
      </c>
      <c r="D66" s="91">
        <v>4.5</v>
      </c>
      <c r="E66" s="94">
        <v>3.41</v>
      </c>
      <c r="F66" s="91">
        <v>7.5460000000000003</v>
      </c>
      <c r="G66" s="104">
        <f t="shared" ref="G66:G67" si="193">D66*E66</f>
        <v>15.345000000000001</v>
      </c>
      <c r="H66" s="104">
        <f>D66*E66*F66*10.76</f>
        <v>1245.9366612000001</v>
      </c>
      <c r="I66" s="91">
        <v>15</v>
      </c>
      <c r="J66" s="92">
        <f>H66*I66/60</f>
        <v>311.48416530000003</v>
      </c>
      <c r="K66" s="91">
        <v>0</v>
      </c>
      <c r="L66" s="91">
        <v>0</v>
      </c>
      <c r="M66" s="92">
        <f>J66*1</f>
        <v>311.48416530000003</v>
      </c>
      <c r="N66" s="92">
        <f>J66*1</f>
        <v>311.48416530000003</v>
      </c>
      <c r="O66" s="93">
        <v>0</v>
      </c>
      <c r="P66" s="92">
        <f t="shared" ref="P66:P67" si="194">MAX(J66,O66)*1.05</f>
        <v>327.05837356500007</v>
      </c>
      <c r="Q66" s="94">
        <v>0</v>
      </c>
      <c r="R66" s="94">
        <v>0</v>
      </c>
      <c r="S66" s="297">
        <v>0</v>
      </c>
      <c r="T66" s="297">
        <v>0</v>
      </c>
      <c r="U66" s="297">
        <v>0</v>
      </c>
      <c r="V66" s="297">
        <v>0</v>
      </c>
      <c r="W66" s="297">
        <v>0</v>
      </c>
      <c r="X66" s="297" t="s">
        <v>106</v>
      </c>
      <c r="Y66" s="91" t="s">
        <v>106</v>
      </c>
      <c r="Z66" s="91" t="s">
        <v>106</v>
      </c>
      <c r="AA66" s="91">
        <v>106</v>
      </c>
      <c r="AB66" s="91" t="s">
        <v>106</v>
      </c>
      <c r="AC66" s="92" t="e">
        <f>(D66+E66)*2*10.76*F66*0.4*(AA66-AB66)</f>
        <v>#VALUE!</v>
      </c>
      <c r="AD66" s="92" t="e">
        <f>(D66+E66)*2*10.76*F66*0.28*(AA66-AB66)</f>
        <v>#VALUE!</v>
      </c>
      <c r="AE66" s="92" t="e">
        <f>D66*E66*0.4*10.76*(AA66-AB66)</f>
        <v>#VALUE!</v>
      </c>
      <c r="AF66" s="92" t="e">
        <f>D66*E66*0.4*10.76*(AA66-AB66)</f>
        <v>#VALUE!</v>
      </c>
      <c r="AG66" s="92">
        <f>D66*E66*1.75*10.76</f>
        <v>288.94635</v>
      </c>
      <c r="AH66" s="92" t="e">
        <f>L66*(3.5/2)*1.08*0.88*(AA66-AB66)*1000</f>
        <v>#VALUE!</v>
      </c>
      <c r="AI66" s="92">
        <f>K66*285</f>
        <v>0</v>
      </c>
      <c r="AJ66" s="92" t="e">
        <f>(M66+N66)*0.12*1.08*(AA66-AB66)</f>
        <v>#VALUE!</v>
      </c>
      <c r="AK66" s="92" t="e">
        <f t="shared" ref="AK66:AK67" si="195">(AC66+AD66+AE66+AF66)*0+AG66+AH66+AI66+AJ66</f>
        <v>#VALUE!</v>
      </c>
      <c r="AL66" s="92" t="e">
        <f t="shared" ref="AL66:AL67" si="196">AK66*1</f>
        <v>#VALUE!</v>
      </c>
      <c r="AM66" s="92">
        <f>K66*215</f>
        <v>0</v>
      </c>
      <c r="AN66" s="92" t="e">
        <f>(M66+N66)*0.68*0.12*(AA66-AB66)</f>
        <v>#VALUE!</v>
      </c>
      <c r="AO66" s="92" t="e">
        <f t="shared" ref="AO66:AO67" si="197">(AM66+AN66)*1</f>
        <v>#VALUE!</v>
      </c>
      <c r="AP66" s="92" t="e">
        <f t="shared" ref="AP66:AP67" si="198">AO66+AL66</f>
        <v>#VALUE!</v>
      </c>
      <c r="AQ66" s="92" t="e">
        <f>(M66+N66)*0.88*1.08*(AA66-AB66)</f>
        <v>#VALUE!</v>
      </c>
      <c r="AR66" s="92">
        <f>(M66+N66)*0.88*0.68*90</f>
        <v>33550.582412793607</v>
      </c>
      <c r="AS66" s="92" t="e">
        <f t="shared" ref="AS66:AS67" si="199">AL66+AO66+AQ66+AR66</f>
        <v>#VALUE!</v>
      </c>
      <c r="AT66" s="92" t="e">
        <f t="shared" ref="AT66:AT67" si="200">AS66/12000</f>
        <v>#VALUE!</v>
      </c>
      <c r="AU66" s="92">
        <v>49</v>
      </c>
      <c r="AV66" s="92" t="e">
        <f t="shared" ref="AV66:AV67" si="201">AL66/(1.08*(AA66-AU66))</f>
        <v>#VALUE!</v>
      </c>
      <c r="AW66" s="282">
        <v>5</v>
      </c>
      <c r="AX66" s="282">
        <f>CEILING(IF(AW66=5,P66*1/350,(IF(AWB66=20,P66*1/300,0))),2)</f>
        <v>2</v>
      </c>
      <c r="AY66" s="282">
        <f t="shared" ref="AY66" si="202">CEILING(IF(AW66=100000,P66*1/250,0),2)</f>
        <v>0</v>
      </c>
      <c r="AZ66" s="282">
        <f t="shared" ref="AZ66" si="203">CEILING(IF(AW66=10000,P66*1/225,(IF(AWB66=10000,P66*1/225,0))),2)</f>
        <v>0</v>
      </c>
      <c r="BA66" s="282">
        <f t="shared" ref="BA66" si="204">CEILING(IF(AW66=1000,P66*1/100,(IF(AWB66=100,P66*1/100,0))),2)</f>
        <v>0</v>
      </c>
      <c r="BB66" s="295">
        <f>CEILING(SUM(P66:P67)*1.1,50)</f>
        <v>1850</v>
      </c>
      <c r="BC66" s="299">
        <v>75</v>
      </c>
      <c r="BD66" s="328"/>
      <c r="BE66" s="299">
        <v>1.5</v>
      </c>
      <c r="BF66" s="299">
        <f>CEILING(N68*1.1, 25)</f>
        <v>1750</v>
      </c>
      <c r="BG66" s="299">
        <v>50</v>
      </c>
      <c r="BH66" s="328"/>
      <c r="BI66" s="299">
        <v>1.5</v>
      </c>
      <c r="BJ66" s="339">
        <f>BE66*(750/1000)+S66*0.8+BI66*(750/1000)</f>
        <v>2.25</v>
      </c>
      <c r="BK66" s="115"/>
    </row>
    <row r="67" spans="1:63" s="95" customFormat="1" ht="23.25" customHeight="1" thickBot="1">
      <c r="A67" s="90">
        <v>27</v>
      </c>
      <c r="B67" s="306"/>
      <c r="C67" s="106" t="s">
        <v>125</v>
      </c>
      <c r="D67" s="91">
        <v>6</v>
      </c>
      <c r="E67" s="94">
        <v>4.0599999999999996</v>
      </c>
      <c r="F67" s="91">
        <v>19.193000000000001</v>
      </c>
      <c r="G67" s="104">
        <f t="shared" si="193"/>
        <v>24.36</v>
      </c>
      <c r="H67" s="104">
        <f>D67*E67*F67*10.76</f>
        <v>5030.7463248000004</v>
      </c>
      <c r="I67" s="91">
        <v>15</v>
      </c>
      <c r="J67" s="92">
        <f>H67*I67/60</f>
        <v>1257.6865812000001</v>
      </c>
      <c r="K67" s="91">
        <v>0</v>
      </c>
      <c r="L67" s="91">
        <v>0</v>
      </c>
      <c r="M67" s="92">
        <f>J67*1</f>
        <v>1257.6865812000001</v>
      </c>
      <c r="N67" s="92">
        <f>J67*1</f>
        <v>1257.6865812000001</v>
      </c>
      <c r="O67" s="93">
        <v>0</v>
      </c>
      <c r="P67" s="92">
        <f t="shared" si="194"/>
        <v>1320.5709102600001</v>
      </c>
      <c r="Q67" s="94">
        <v>0</v>
      </c>
      <c r="R67" s="94">
        <v>0</v>
      </c>
      <c r="S67" s="298"/>
      <c r="T67" s="298"/>
      <c r="U67" s="298"/>
      <c r="V67" s="298"/>
      <c r="W67" s="298"/>
      <c r="X67" s="298"/>
      <c r="Y67" s="91" t="s">
        <v>106</v>
      </c>
      <c r="Z67" s="91" t="s">
        <v>106</v>
      </c>
      <c r="AA67" s="91">
        <v>106</v>
      </c>
      <c r="AB67" s="91" t="s">
        <v>106</v>
      </c>
      <c r="AC67" s="92" t="e">
        <f>(D67+E67)*2*10.76*F67*0.4*(AA67-AB67)</f>
        <v>#VALUE!</v>
      </c>
      <c r="AD67" s="92" t="e">
        <f>(D67+E67)*2*10.76*F67*0.28*(AA67-AB67)</f>
        <v>#VALUE!</v>
      </c>
      <c r="AE67" s="92" t="e">
        <f>D67*E67*0.4*10.76*(AA67-AB67)</f>
        <v>#VALUE!</v>
      </c>
      <c r="AF67" s="92" t="e">
        <f>D67*E67*0.4*10.76*(AA67-AB67)</f>
        <v>#VALUE!</v>
      </c>
      <c r="AG67" s="92">
        <f>D67*E67*1.75*10.76</f>
        <v>458.69879999999995</v>
      </c>
      <c r="AH67" s="92" t="e">
        <f>L67*(3.5/2)*1.08*0.88*(AA67-AB67)*1000</f>
        <v>#VALUE!</v>
      </c>
      <c r="AI67" s="92">
        <f>K67*285</f>
        <v>0</v>
      </c>
      <c r="AJ67" s="92" t="e">
        <f>(M67+N67)*0.12*1.08*(AA67-AB67)</f>
        <v>#VALUE!</v>
      </c>
      <c r="AK67" s="92" t="e">
        <f t="shared" si="195"/>
        <v>#VALUE!</v>
      </c>
      <c r="AL67" s="92" t="e">
        <f t="shared" si="196"/>
        <v>#VALUE!</v>
      </c>
      <c r="AM67" s="92">
        <f>K67*215</f>
        <v>0</v>
      </c>
      <c r="AN67" s="92" t="e">
        <f>(M67+N67)*0.68*0.12*(AA67-AB67)</f>
        <v>#VALUE!</v>
      </c>
      <c r="AO67" s="92" t="e">
        <f t="shared" si="197"/>
        <v>#VALUE!</v>
      </c>
      <c r="AP67" s="92" t="e">
        <f t="shared" si="198"/>
        <v>#VALUE!</v>
      </c>
      <c r="AQ67" s="92" t="e">
        <f>(M67+N67)*0.88*1.08*(AA67-AB67)</f>
        <v>#VALUE!</v>
      </c>
      <c r="AR67" s="92">
        <f>(M67+N67)*0.88*0.68*90</f>
        <v>135467.93703421444</v>
      </c>
      <c r="AS67" s="92" t="e">
        <f t="shared" si="199"/>
        <v>#VALUE!</v>
      </c>
      <c r="AT67" s="92" t="e">
        <f t="shared" si="200"/>
        <v>#VALUE!</v>
      </c>
      <c r="AU67" s="92">
        <v>49</v>
      </c>
      <c r="AV67" s="92" t="e">
        <f t="shared" si="201"/>
        <v>#VALUE!</v>
      </c>
      <c r="AW67" s="282">
        <v>5</v>
      </c>
      <c r="AX67" s="282">
        <f>CEILING(IF(AW67=5,P67*1/350,(IF(AWB67=20,P67*1/300,0))),2)</f>
        <v>4</v>
      </c>
      <c r="AY67" s="282">
        <f t="shared" ref="AY67" si="205">CEILING(IF(AW67=100000,P67*1/275,0),2)</f>
        <v>0</v>
      </c>
      <c r="AZ67" s="282">
        <f t="shared" ref="AZ67" si="206">CEILING(IF(AW67=100000,P67*1/225,(IF(AWB67=10000,P67*1/225,0))),2)</f>
        <v>0</v>
      </c>
      <c r="BA67" s="282">
        <f t="shared" ref="BA67" si="207">CEILING(IF(AW67=1000,P67*1/100,(IF(AWB67=100,P67*1/100,0))),2)</f>
        <v>0</v>
      </c>
      <c r="BB67" s="296"/>
      <c r="BC67" s="299"/>
      <c r="BD67" s="328"/>
      <c r="BE67" s="299"/>
      <c r="BF67" s="299"/>
      <c r="BG67" s="299"/>
      <c r="BH67" s="328"/>
      <c r="BI67" s="299"/>
      <c r="BJ67" s="339"/>
      <c r="BK67" s="115"/>
    </row>
    <row r="68" spans="1:63" s="89" customFormat="1" ht="16.5" customHeight="1" thickBot="1">
      <c r="A68" s="96"/>
      <c r="B68" s="97"/>
      <c r="C68" s="141"/>
      <c r="D68" s="97"/>
      <c r="E68" s="99"/>
      <c r="F68" s="97"/>
      <c r="G68" s="173">
        <f>SUM(G66:G67)</f>
        <v>39.704999999999998</v>
      </c>
      <c r="H68" s="173">
        <f t="shared" ref="H68:R68" si="208">SUM(H66:H67)</f>
        <v>6276.6829860000007</v>
      </c>
      <c r="I68" s="173">
        <f t="shared" si="208"/>
        <v>30</v>
      </c>
      <c r="J68" s="173">
        <f t="shared" si="208"/>
        <v>1569.1707465000002</v>
      </c>
      <c r="K68" s="173">
        <f t="shared" si="208"/>
        <v>0</v>
      </c>
      <c r="L68" s="173">
        <f t="shared" si="208"/>
        <v>0</v>
      </c>
      <c r="M68" s="173">
        <f t="shared" si="208"/>
        <v>1569.1707465000002</v>
      </c>
      <c r="N68" s="173">
        <f t="shared" si="208"/>
        <v>1569.1707465000002</v>
      </c>
      <c r="O68" s="173">
        <f t="shared" si="208"/>
        <v>0</v>
      </c>
      <c r="P68" s="173">
        <f t="shared" si="208"/>
        <v>1647.6292838250001</v>
      </c>
      <c r="Q68" s="173">
        <f t="shared" si="208"/>
        <v>0</v>
      </c>
      <c r="R68" s="173">
        <f t="shared" si="208"/>
        <v>0</v>
      </c>
      <c r="S68" s="213"/>
      <c r="T68" s="213"/>
      <c r="U68" s="213"/>
      <c r="V68" s="213"/>
      <c r="W68" s="213"/>
      <c r="X68" s="213"/>
      <c r="Y68" s="97"/>
      <c r="Z68" s="97"/>
      <c r="AA68" s="97"/>
      <c r="AB68" s="97"/>
      <c r="AC68" s="98"/>
      <c r="AD68" s="98"/>
      <c r="AE68" s="98"/>
      <c r="AF68" s="98"/>
      <c r="AG68" s="98"/>
      <c r="AH68" s="98"/>
      <c r="AI68" s="98"/>
      <c r="AJ68" s="98"/>
      <c r="AK68" s="98"/>
      <c r="AL68" s="98"/>
      <c r="AM68" s="98"/>
      <c r="AN68" s="98"/>
      <c r="AO68" s="98"/>
      <c r="AP68" s="98"/>
      <c r="AQ68" s="98"/>
      <c r="AR68" s="98"/>
      <c r="AS68" s="98"/>
      <c r="AT68" s="98"/>
      <c r="AU68" s="98"/>
      <c r="AV68" s="98"/>
      <c r="AW68" s="283"/>
      <c r="AX68" s="283"/>
      <c r="AY68" s="283"/>
      <c r="AZ68" s="283"/>
      <c r="BA68" s="283"/>
      <c r="BB68" s="166"/>
      <c r="BC68" s="278"/>
      <c r="BD68" s="260"/>
      <c r="BE68" s="260"/>
      <c r="BF68" s="260"/>
      <c r="BG68" s="260"/>
      <c r="BH68" s="260"/>
      <c r="BI68" s="260"/>
      <c r="BJ68" s="279"/>
      <c r="BK68" s="114"/>
    </row>
    <row r="69" spans="1:63" s="206" customFormat="1" ht="23.25">
      <c r="A69" s="183"/>
      <c r="B69" s="184">
        <v>9</v>
      </c>
      <c r="C69" s="185" t="s">
        <v>126</v>
      </c>
      <c r="D69" s="186"/>
      <c r="E69" s="187"/>
      <c r="F69" s="186"/>
      <c r="G69" s="188"/>
      <c r="H69" s="188"/>
      <c r="I69" s="186"/>
      <c r="J69" s="198"/>
      <c r="K69" s="199"/>
      <c r="L69" s="199"/>
      <c r="M69" s="198"/>
      <c r="N69" s="198"/>
      <c r="O69" s="200"/>
      <c r="P69" s="198"/>
      <c r="Q69" s="201"/>
      <c r="R69" s="201"/>
      <c r="S69" s="214"/>
      <c r="T69" s="214"/>
      <c r="U69" s="214"/>
      <c r="V69" s="214"/>
      <c r="W69" s="214"/>
      <c r="X69" s="214"/>
      <c r="Y69" s="186"/>
      <c r="Z69" s="186"/>
      <c r="AA69" s="186"/>
      <c r="AB69" s="186"/>
      <c r="AC69" s="189"/>
      <c r="AD69" s="189"/>
      <c r="AE69" s="189"/>
      <c r="AF69" s="189"/>
      <c r="AG69" s="189"/>
      <c r="AH69" s="189"/>
      <c r="AI69" s="189"/>
      <c r="AJ69" s="189"/>
      <c r="AK69" s="189"/>
      <c r="AL69" s="189"/>
      <c r="AM69" s="189"/>
      <c r="AN69" s="189"/>
      <c r="AO69" s="189"/>
      <c r="AP69" s="189"/>
      <c r="AQ69" s="189"/>
      <c r="AR69" s="189"/>
      <c r="AS69" s="189"/>
      <c r="AT69" s="189"/>
      <c r="AU69" s="189"/>
      <c r="AV69" s="189"/>
      <c r="AW69" s="281"/>
      <c r="AX69" s="281"/>
      <c r="AY69" s="281"/>
      <c r="AZ69" s="281"/>
      <c r="BA69" s="281"/>
      <c r="BB69" s="204"/>
      <c r="BC69" s="205"/>
      <c r="BJ69" s="257"/>
      <c r="BK69" s="205"/>
    </row>
    <row r="70" spans="1:63" s="100" customFormat="1" ht="23.25" customHeight="1" thickBot="1">
      <c r="A70" s="90">
        <v>28</v>
      </c>
      <c r="B70" s="305" t="s">
        <v>127</v>
      </c>
      <c r="C70" s="106" t="s">
        <v>128</v>
      </c>
      <c r="D70" s="91">
        <v>3.968</v>
      </c>
      <c r="E70" s="94">
        <v>5.9189999999999996</v>
      </c>
      <c r="F70" s="91">
        <v>19.193000000000001</v>
      </c>
      <c r="G70" s="104">
        <f t="shared" ref="G70:G71" si="209">D70*E70</f>
        <v>23.486591999999998</v>
      </c>
      <c r="H70" s="104">
        <f>D70*E70*F70*10.76</f>
        <v>4850.3730043545593</v>
      </c>
      <c r="I70" s="91">
        <v>15</v>
      </c>
      <c r="J70" s="92">
        <f>H70*I70/60</f>
        <v>1212.5932510886398</v>
      </c>
      <c r="K70" s="91">
        <v>0</v>
      </c>
      <c r="L70" s="91">
        <v>0</v>
      </c>
      <c r="M70" s="92">
        <f>J70*1</f>
        <v>1212.5932510886398</v>
      </c>
      <c r="N70" s="92">
        <f t="shared" ref="N70:N71" si="210">J70*1</f>
        <v>1212.5932510886398</v>
      </c>
      <c r="O70" s="93">
        <v>0</v>
      </c>
      <c r="P70" s="92">
        <f t="shared" ref="P70:P71" si="211">MAX(J70,O70)*1.05</f>
        <v>1273.2229136430719</v>
      </c>
      <c r="Q70" s="94">
        <v>0</v>
      </c>
      <c r="R70" s="94">
        <v>0</v>
      </c>
      <c r="S70" s="297">
        <v>0</v>
      </c>
      <c r="T70" s="297">
        <v>0</v>
      </c>
      <c r="U70" s="297">
        <v>0</v>
      </c>
      <c r="V70" s="297">
        <v>0</v>
      </c>
      <c r="W70" s="297">
        <v>0</v>
      </c>
      <c r="X70" s="297" t="s">
        <v>106</v>
      </c>
      <c r="Y70" s="91" t="s">
        <v>106</v>
      </c>
      <c r="Z70" s="91" t="s">
        <v>106</v>
      </c>
      <c r="AA70" s="91">
        <v>106</v>
      </c>
      <c r="AB70" s="91" t="s">
        <v>106</v>
      </c>
      <c r="AC70" s="92" t="e">
        <f>(D70+E70)*2*10.76*F70*0.4*(AA70-AB70)</f>
        <v>#VALUE!</v>
      </c>
      <c r="AD70" s="92" t="e">
        <f>(D70+E70)*2*10.76*F70*0.28*(AA70-AB70)</f>
        <v>#VALUE!</v>
      </c>
      <c r="AE70" s="92" t="e">
        <f>D70*E70*0.4*10.76*(AA70-AB70)</f>
        <v>#VALUE!</v>
      </c>
      <c r="AF70" s="92" t="e">
        <f>D70*E70*0.4*10.76*(AA70-AB70)</f>
        <v>#VALUE!</v>
      </c>
      <c r="AG70" s="92">
        <f>D70*E70*1.75*10.76</f>
        <v>442.25252735999993</v>
      </c>
      <c r="AH70" s="92" t="e">
        <f>L70*(3.5/2)*1.08*0.88*(AA70-AB70)*1000</f>
        <v>#VALUE!</v>
      </c>
      <c r="AI70" s="92">
        <f>K70*285</f>
        <v>0</v>
      </c>
      <c r="AJ70" s="92" t="e">
        <f>(M70+N70)*0.12*1.08*(AA70-AB70)</f>
        <v>#VALUE!</v>
      </c>
      <c r="AK70" s="92" t="e">
        <f t="shared" ref="AK70:AK71" si="212">(AC70+AD70+AE70+AF70)*0+AG70+AH70+AI70+AJ70</f>
        <v>#VALUE!</v>
      </c>
      <c r="AL70" s="92" t="e">
        <f t="shared" ref="AL70:AL71" si="213">AK70*1</f>
        <v>#VALUE!</v>
      </c>
      <c r="AM70" s="92">
        <f>K70*215</f>
        <v>0</v>
      </c>
      <c r="AN70" s="92" t="e">
        <f>(M70+N70)*0.68*0.12*(AA70-AB70)</f>
        <v>#VALUE!</v>
      </c>
      <c r="AO70" s="92" t="e">
        <f t="shared" ref="AO70:AO71" si="214">(AM70+AN70)*1</f>
        <v>#VALUE!</v>
      </c>
      <c r="AP70" s="92" t="e">
        <f t="shared" ref="AP70:AP71" si="215">AO70+AL70</f>
        <v>#VALUE!</v>
      </c>
      <c r="AQ70" s="92" t="e">
        <f>(M70+N70)*0.88*1.08*(AA70-AB70)</f>
        <v>#VALUE!</v>
      </c>
      <c r="AR70" s="92">
        <f>(M70+N70)*0.88*0.68*90</f>
        <v>130610.84426125957</v>
      </c>
      <c r="AS70" s="92" t="e">
        <f t="shared" ref="AS70:AS71" si="216">AL70+AO70+AQ70+AR70</f>
        <v>#VALUE!</v>
      </c>
      <c r="AT70" s="92" t="e">
        <f t="shared" ref="AT70:AT71" si="217">AS70/12000</f>
        <v>#VALUE!</v>
      </c>
      <c r="AU70" s="92">
        <v>49</v>
      </c>
      <c r="AV70" s="92" t="e">
        <f t="shared" ref="AV70:AV71" si="218">AL70/(1.08*(AA70-AU70))</f>
        <v>#VALUE!</v>
      </c>
      <c r="AW70" s="282">
        <v>5</v>
      </c>
      <c r="AX70" s="282">
        <f>CEILING(IF(AW70=5,P70*1/350,(IF(AWB70=20,P70*1/300,0))),2)</f>
        <v>4</v>
      </c>
      <c r="AY70" s="282">
        <f t="shared" ref="AY70" si="219">CEILING(IF(AW70=100000,P70*1/250,0),2)</f>
        <v>0</v>
      </c>
      <c r="AZ70" s="282">
        <f t="shared" ref="AZ70" si="220">CEILING(IF(AW70=10000,P70*1/225,(IF(AWB70=10000,P70*1/225,0))),2)</f>
        <v>0</v>
      </c>
      <c r="BA70" s="282">
        <f t="shared" ref="BA70" si="221">CEILING(IF(AW70=1000,P70*1/100,(IF(AWB70=100,P70*1/100,0))),2)</f>
        <v>0</v>
      </c>
      <c r="BB70" s="299">
        <f>CEILING(SUM(P70:P71)*1.1,50)</f>
        <v>1950</v>
      </c>
      <c r="BC70" s="299">
        <v>75</v>
      </c>
      <c r="BD70" s="328"/>
      <c r="BE70" s="299">
        <v>1.5</v>
      </c>
      <c r="BF70" s="299">
        <f>CEILING(N72*1.1, 25)</f>
        <v>1825</v>
      </c>
      <c r="BG70" s="299">
        <v>50</v>
      </c>
      <c r="BH70" s="328"/>
      <c r="BI70" s="299">
        <v>1.5</v>
      </c>
      <c r="BJ70" s="340"/>
      <c r="BK70" s="116"/>
    </row>
    <row r="71" spans="1:63" s="100" customFormat="1" ht="21.75" customHeight="1" thickBot="1">
      <c r="A71" s="90">
        <v>29</v>
      </c>
      <c r="B71" s="306"/>
      <c r="C71" s="106" t="s">
        <v>128</v>
      </c>
      <c r="D71" s="91">
        <v>4</v>
      </c>
      <c r="E71" s="94">
        <v>5.44</v>
      </c>
      <c r="F71" s="91">
        <v>7.5460000000000003</v>
      </c>
      <c r="G71" s="104">
        <f t="shared" si="209"/>
        <v>21.76</v>
      </c>
      <c r="H71" s="104">
        <f>D71*E71*F71*10.76</f>
        <v>1766.8023296000001</v>
      </c>
      <c r="I71" s="91">
        <v>15</v>
      </c>
      <c r="J71" s="92">
        <f>H71*I71/60</f>
        <v>441.70058240000003</v>
      </c>
      <c r="K71" s="91">
        <v>0</v>
      </c>
      <c r="L71" s="91">
        <v>0</v>
      </c>
      <c r="M71" s="92">
        <f>J71*1</f>
        <v>441.70058240000003</v>
      </c>
      <c r="N71" s="92">
        <f t="shared" si="210"/>
        <v>441.70058240000003</v>
      </c>
      <c r="O71" s="93">
        <v>0</v>
      </c>
      <c r="P71" s="92">
        <f t="shared" si="211"/>
        <v>463.78561152000003</v>
      </c>
      <c r="Q71" s="94">
        <v>0</v>
      </c>
      <c r="R71" s="94">
        <v>0</v>
      </c>
      <c r="S71" s="298"/>
      <c r="T71" s="298"/>
      <c r="U71" s="298"/>
      <c r="V71" s="298"/>
      <c r="W71" s="298"/>
      <c r="X71" s="298"/>
      <c r="Y71" s="91" t="s">
        <v>106</v>
      </c>
      <c r="Z71" s="91" t="s">
        <v>106</v>
      </c>
      <c r="AA71" s="91">
        <v>106</v>
      </c>
      <c r="AB71" s="91" t="s">
        <v>106</v>
      </c>
      <c r="AC71" s="92" t="e">
        <f>(D71+E71)*2*10.76*F71*0.4*(AA71-AB71)</f>
        <v>#VALUE!</v>
      </c>
      <c r="AD71" s="92" t="e">
        <f>(D71+E71)*2*10.76*F71*0.28*(AA71-AB71)</f>
        <v>#VALUE!</v>
      </c>
      <c r="AE71" s="92" t="e">
        <f>D71*E71*0.4*10.76*(AA71-AB71)</f>
        <v>#VALUE!</v>
      </c>
      <c r="AF71" s="92" t="e">
        <f>D71*E71*0.4*10.76*(AA71-AB71)</f>
        <v>#VALUE!</v>
      </c>
      <c r="AG71" s="92">
        <f>D71*E71*1.75*10.76</f>
        <v>409.74080000000004</v>
      </c>
      <c r="AH71" s="92" t="e">
        <f>L71*(3.5/2)*1.08*0.88*(AA71-AB71)*1000</f>
        <v>#VALUE!</v>
      </c>
      <c r="AI71" s="92">
        <f>K71*285</f>
        <v>0</v>
      </c>
      <c r="AJ71" s="92" t="e">
        <f>(M71+N71)*0.12*1.08*(AA71-AB71)</f>
        <v>#VALUE!</v>
      </c>
      <c r="AK71" s="92" t="e">
        <f t="shared" si="212"/>
        <v>#VALUE!</v>
      </c>
      <c r="AL71" s="92" t="e">
        <f t="shared" si="213"/>
        <v>#VALUE!</v>
      </c>
      <c r="AM71" s="92">
        <f>K71*215</f>
        <v>0</v>
      </c>
      <c r="AN71" s="92" t="e">
        <f>(M71+N71)*0.68*0.12*(AA71-AB71)</f>
        <v>#VALUE!</v>
      </c>
      <c r="AO71" s="92" t="e">
        <f t="shared" si="214"/>
        <v>#VALUE!</v>
      </c>
      <c r="AP71" s="92" t="e">
        <f t="shared" si="215"/>
        <v>#VALUE!</v>
      </c>
      <c r="AQ71" s="92" t="e">
        <f>(M71+N71)*0.88*1.08*(AA71-AB71)</f>
        <v>#VALUE!</v>
      </c>
      <c r="AR71" s="92">
        <f>(M71+N71)*0.88*0.68*90</f>
        <v>47576.453131468807</v>
      </c>
      <c r="AS71" s="92" t="e">
        <f t="shared" si="216"/>
        <v>#VALUE!</v>
      </c>
      <c r="AT71" s="92" t="e">
        <f t="shared" si="217"/>
        <v>#VALUE!</v>
      </c>
      <c r="AU71" s="92">
        <v>49</v>
      </c>
      <c r="AV71" s="92" t="e">
        <f t="shared" si="218"/>
        <v>#VALUE!</v>
      </c>
      <c r="AW71" s="282">
        <v>5</v>
      </c>
      <c r="AX71" s="282">
        <f>CEILING(IF(AW71=5,P71*1/350,(IF(AWB71=20,P71*1/300,0))),2)</f>
        <v>2</v>
      </c>
      <c r="AY71" s="282">
        <f t="shared" ref="AY71" si="222">CEILING(IF(AW71=100000,P71*1/275,0),2)</f>
        <v>0</v>
      </c>
      <c r="AZ71" s="282">
        <f t="shared" ref="AZ71" si="223">CEILING(IF(AW71=100000,P71*1/225,(IF(AWB71=10000,P71*1/225,0))),2)</f>
        <v>0</v>
      </c>
      <c r="BA71" s="282">
        <f t="shared" ref="BA71" si="224">CEILING(IF(AW71=1000,P71*1/100,(IF(AWB71=100,P71*1/100,0))),2)</f>
        <v>0</v>
      </c>
      <c r="BB71" s="299"/>
      <c r="BC71" s="299"/>
      <c r="BD71" s="328"/>
      <c r="BE71" s="299"/>
      <c r="BF71" s="299"/>
      <c r="BG71" s="299"/>
      <c r="BH71" s="328"/>
      <c r="BI71" s="299"/>
      <c r="BJ71" s="340"/>
      <c r="BK71" s="116"/>
    </row>
    <row r="72" spans="1:63" s="89" customFormat="1" ht="17.25" customHeight="1" thickBot="1">
      <c r="A72" s="96"/>
      <c r="B72" s="97"/>
      <c r="C72" s="141"/>
      <c r="D72" s="97"/>
      <c r="E72" s="99"/>
      <c r="F72" s="97"/>
      <c r="G72" s="173">
        <f>SUM(G70:G71)</f>
        <v>45.246592</v>
      </c>
      <c r="H72" s="173">
        <f t="shared" ref="H72:R72" si="225">SUM(H70:H71)</f>
        <v>6617.1753339545594</v>
      </c>
      <c r="I72" s="173">
        <f t="shared" si="225"/>
        <v>30</v>
      </c>
      <c r="J72" s="173">
        <f t="shared" si="225"/>
        <v>1654.2938334886398</v>
      </c>
      <c r="K72" s="173">
        <f t="shared" si="225"/>
        <v>0</v>
      </c>
      <c r="L72" s="173">
        <f t="shared" si="225"/>
        <v>0</v>
      </c>
      <c r="M72" s="173">
        <f t="shared" si="225"/>
        <v>1654.2938334886398</v>
      </c>
      <c r="N72" s="173">
        <f t="shared" si="225"/>
        <v>1654.2938334886398</v>
      </c>
      <c r="O72" s="173">
        <f t="shared" si="225"/>
        <v>0</v>
      </c>
      <c r="P72" s="173">
        <f t="shared" si="225"/>
        <v>1737.0085251630719</v>
      </c>
      <c r="Q72" s="173">
        <f t="shared" si="225"/>
        <v>0</v>
      </c>
      <c r="R72" s="173">
        <f t="shared" si="225"/>
        <v>0</v>
      </c>
      <c r="S72" s="213"/>
      <c r="T72" s="213"/>
      <c r="U72" s="213"/>
      <c r="V72" s="213"/>
      <c r="W72" s="213"/>
      <c r="X72" s="213"/>
      <c r="Y72" s="97"/>
      <c r="Z72" s="97"/>
      <c r="AA72" s="97"/>
      <c r="AB72" s="97"/>
      <c r="AC72" s="98"/>
      <c r="AD72" s="98"/>
      <c r="AE72" s="98"/>
      <c r="AF72" s="98"/>
      <c r="AG72" s="98"/>
      <c r="AH72" s="98"/>
      <c r="AI72" s="98"/>
      <c r="AJ72" s="98"/>
      <c r="AK72" s="98"/>
      <c r="AL72" s="98"/>
      <c r="AM72" s="98"/>
      <c r="AN72" s="98"/>
      <c r="AO72" s="98"/>
      <c r="AP72" s="98"/>
      <c r="AQ72" s="98"/>
      <c r="AR72" s="98"/>
      <c r="AS72" s="98"/>
      <c r="AT72" s="98"/>
      <c r="AU72" s="98"/>
      <c r="AV72" s="98"/>
      <c r="AW72" s="285"/>
      <c r="AX72" s="285"/>
      <c r="AY72" s="285"/>
      <c r="AZ72" s="285"/>
      <c r="BA72" s="285"/>
      <c r="BB72" s="280"/>
      <c r="BC72" s="278"/>
      <c r="BD72" s="260"/>
      <c r="BE72" s="260"/>
      <c r="BF72" s="260"/>
      <c r="BG72" s="260"/>
      <c r="BH72" s="260"/>
      <c r="BI72" s="260"/>
      <c r="BJ72" s="279"/>
      <c r="BK72" s="114"/>
    </row>
    <row r="73" spans="1:63" s="206" customFormat="1" ht="23.25">
      <c r="A73" s="183"/>
      <c r="B73" s="184">
        <v>10</v>
      </c>
      <c r="C73" s="185" t="s">
        <v>129</v>
      </c>
      <c r="D73" s="186"/>
      <c r="E73" s="187"/>
      <c r="F73" s="186"/>
      <c r="G73" s="188"/>
      <c r="H73" s="188"/>
      <c r="I73" s="186"/>
      <c r="J73" s="198"/>
      <c r="K73" s="199"/>
      <c r="L73" s="199"/>
      <c r="M73" s="198"/>
      <c r="N73" s="198"/>
      <c r="O73" s="200"/>
      <c r="P73" s="198"/>
      <c r="Q73" s="201"/>
      <c r="R73" s="201"/>
      <c r="S73" s="215"/>
      <c r="T73" s="215"/>
      <c r="U73" s="215"/>
      <c r="V73" s="215"/>
      <c r="W73" s="215"/>
      <c r="X73" s="215"/>
      <c r="Y73" s="186"/>
      <c r="Z73" s="186"/>
      <c r="AA73" s="186"/>
      <c r="AB73" s="186"/>
      <c r="AC73" s="189"/>
      <c r="AD73" s="189"/>
      <c r="AE73" s="189"/>
      <c r="AF73" s="189"/>
      <c r="AG73" s="189"/>
      <c r="AH73" s="189"/>
      <c r="AI73" s="189"/>
      <c r="AJ73" s="189"/>
      <c r="AK73" s="189"/>
      <c r="AL73" s="189"/>
      <c r="AM73" s="189"/>
      <c r="AN73" s="189"/>
      <c r="AO73" s="189"/>
      <c r="AP73" s="189"/>
      <c r="AQ73" s="189"/>
      <c r="AR73" s="189"/>
      <c r="AS73" s="189"/>
      <c r="AT73" s="189"/>
      <c r="AU73" s="189"/>
      <c r="AV73" s="189"/>
      <c r="AW73" s="281"/>
      <c r="AX73" s="281"/>
      <c r="AY73" s="281"/>
      <c r="AZ73" s="281"/>
      <c r="BA73" s="281"/>
      <c r="BB73" s="195"/>
      <c r="BC73" s="205"/>
      <c r="BJ73" s="257"/>
      <c r="BK73" s="205"/>
    </row>
    <row r="74" spans="1:63" s="95" customFormat="1">
      <c r="A74" s="90">
        <v>30</v>
      </c>
      <c r="B74" s="300" t="s">
        <v>130</v>
      </c>
      <c r="C74" s="106" t="s">
        <v>131</v>
      </c>
      <c r="D74" s="91">
        <v>2</v>
      </c>
      <c r="E74" s="94">
        <v>3.0510000000000002</v>
      </c>
      <c r="F74" s="91">
        <v>9.1859999999999999</v>
      </c>
      <c r="G74" s="104">
        <f t="shared" ref="G74:G81" si="226">D74*E74</f>
        <v>6.1020000000000003</v>
      </c>
      <c r="H74" s="104">
        <f>D74*E74*F74*10.76</f>
        <v>603.12997872000005</v>
      </c>
      <c r="I74" s="91">
        <v>30</v>
      </c>
      <c r="J74" s="92">
        <f>H74*I74/60</f>
        <v>301.56498936000003</v>
      </c>
      <c r="K74" s="91">
        <v>0</v>
      </c>
      <c r="L74" s="91">
        <v>0</v>
      </c>
      <c r="M74" s="92">
        <f>J74*1</f>
        <v>301.56498936000003</v>
      </c>
      <c r="N74" s="92">
        <f>J74*1</f>
        <v>301.56498936000003</v>
      </c>
      <c r="O74" s="93">
        <v>0</v>
      </c>
      <c r="P74" s="92">
        <f t="shared" ref="P74:P81" si="227">MAX(J74,O74)*1.05</f>
        <v>316.64323882800005</v>
      </c>
      <c r="Q74" s="94">
        <v>0</v>
      </c>
      <c r="R74" s="94">
        <v>0</v>
      </c>
      <c r="S74" s="301">
        <f>CEILING(MAX(SUM(Q74:Q81),SUM(R74:R81)),0.5)</f>
        <v>0</v>
      </c>
      <c r="T74" s="304">
        <f>S74*2.4</f>
        <v>0</v>
      </c>
      <c r="U74" s="304">
        <f>T74*0.0630902</f>
        <v>0</v>
      </c>
      <c r="V74" s="304">
        <f>0.26*SQRT(T74)</f>
        <v>0</v>
      </c>
      <c r="W74" s="304">
        <f>CEILING(V74,0.5)</f>
        <v>0</v>
      </c>
      <c r="X74" s="304" t="s">
        <v>101</v>
      </c>
      <c r="Y74" s="91" t="s">
        <v>106</v>
      </c>
      <c r="Z74" s="91" t="s">
        <v>106</v>
      </c>
      <c r="AA74" s="91">
        <v>106</v>
      </c>
      <c r="AB74" s="91" t="s">
        <v>106</v>
      </c>
      <c r="AC74" s="92" t="e">
        <f t="shared" ref="AC74:AC81" si="228">(D74+E74)*2*10.76*F74*0.4*(AA74-AB74)</f>
        <v>#VALUE!</v>
      </c>
      <c r="AD74" s="92" t="e">
        <f t="shared" ref="AD74:AD81" si="229">(D74+E74)*2*10.76*F74*0.28*(AA74-AB74)</f>
        <v>#VALUE!</v>
      </c>
      <c r="AE74" s="92" t="e">
        <f t="shared" ref="AE74:AE81" si="230">D74*E74*0.4*10.76*(AA74-AB74)</f>
        <v>#VALUE!</v>
      </c>
      <c r="AF74" s="92" t="e">
        <f t="shared" ref="AF74:AF81" si="231">D74*E74*0.4*10.76*(AA74-AB74)</f>
        <v>#VALUE!</v>
      </c>
      <c r="AG74" s="92">
        <f t="shared" ref="AG74:AG81" si="232">D74*E74*1.75*10.76</f>
        <v>114.90065999999999</v>
      </c>
      <c r="AH74" s="92" t="e">
        <f t="shared" ref="AH74:AH81" si="233">L74*(3.5/2)*1.08*0.88*(AA74-AB74)*1000</f>
        <v>#VALUE!</v>
      </c>
      <c r="AI74" s="92">
        <f t="shared" ref="AI74:AI81" si="234">K74*285</f>
        <v>0</v>
      </c>
      <c r="AJ74" s="92" t="e">
        <f t="shared" ref="AJ74:AJ81" si="235">(M74+N74)*0.12*1.08*(AA74-AB74)</f>
        <v>#VALUE!</v>
      </c>
      <c r="AK74" s="92" t="e">
        <f t="shared" ref="AK74:AK81" si="236">(AC74+AD74+AE74+AF74)*0+AG74+AH74+AI74+AJ74</f>
        <v>#VALUE!</v>
      </c>
      <c r="AL74" s="92" t="e">
        <f t="shared" ref="AL74:AL81" si="237">AK74*1</f>
        <v>#VALUE!</v>
      </c>
      <c r="AM74" s="92">
        <f t="shared" ref="AM74:AM81" si="238">K74*215</f>
        <v>0</v>
      </c>
      <c r="AN74" s="92" t="e">
        <f t="shared" ref="AN74:AN81" si="239">(M74+N74)*0.68*0.12*(AA74-AB74)</f>
        <v>#VALUE!</v>
      </c>
      <c r="AO74" s="92" t="e">
        <f t="shared" ref="AO74:AO81" si="240">(AM74+AN74)*1</f>
        <v>#VALUE!</v>
      </c>
      <c r="AP74" s="92" t="e">
        <f t="shared" ref="AP74:AP81" si="241">AO74+AL74</f>
        <v>#VALUE!</v>
      </c>
      <c r="AQ74" s="92" t="e">
        <f t="shared" ref="AQ74:AQ81" si="242">(M74+N74)*0.88*1.08*(AA74-AB74)</f>
        <v>#VALUE!</v>
      </c>
      <c r="AR74" s="92">
        <f t="shared" ref="AR74:AR81" si="243">(M74+N74)*0.88*0.68*90</f>
        <v>32482.168133944328</v>
      </c>
      <c r="AS74" s="92" t="e">
        <f t="shared" ref="AS74:AS81" si="244">AL74+AO74+AQ74+AR74</f>
        <v>#VALUE!</v>
      </c>
      <c r="AT74" s="92" t="e">
        <f t="shared" ref="AT74:AT81" si="245">AS74/12000</f>
        <v>#VALUE!</v>
      </c>
      <c r="AU74" s="92">
        <v>49</v>
      </c>
      <c r="AV74" s="92" t="e">
        <f t="shared" ref="AV74:AV81" si="246">AL74/(1.08*(AA74-AU74))</f>
        <v>#VALUE!</v>
      </c>
      <c r="AW74" s="282">
        <v>5</v>
      </c>
      <c r="AX74" s="282">
        <f>CEILING(IF(AW74=5,P74*1/350,(IF(AWB74=20,P74*1/300,0))),2)</f>
        <v>2</v>
      </c>
      <c r="AY74" s="282">
        <f t="shared" ref="AY74" si="247">CEILING(IF(AW74=100000,P74*1/250,0),2)</f>
        <v>0</v>
      </c>
      <c r="AZ74" s="282">
        <f t="shared" ref="AZ74" si="248">CEILING(IF(AW74=10000,P74*1/225,(IF(AWB74=10000,P74*1/225,0))),2)</f>
        <v>0</v>
      </c>
      <c r="BA74" s="282">
        <f t="shared" ref="BA74" si="249">CEILING(IF(AW74=1000,P74*1/100,(IF(AWB74=100,P74*1/100,0))),2)</f>
        <v>0</v>
      </c>
      <c r="BB74" s="303">
        <f>CEILING(SUM(P74:P81)*1.1,50)</f>
        <v>9000</v>
      </c>
      <c r="BC74" s="303">
        <v>110</v>
      </c>
      <c r="BD74" s="303"/>
      <c r="BE74" s="303">
        <v>12.5</v>
      </c>
      <c r="BF74" s="303">
        <f>CEILING(N82*1.1, 25)</f>
        <v>8575</v>
      </c>
      <c r="BG74" s="303">
        <v>50</v>
      </c>
      <c r="BH74" s="303"/>
      <c r="BI74" s="303">
        <v>5</v>
      </c>
      <c r="BJ74" s="336">
        <f>BE74*(750/1000)+S74*0.8+BI74*(750/1000)</f>
        <v>13.125</v>
      </c>
      <c r="BK74" s="115"/>
    </row>
    <row r="75" spans="1:63" s="100" customFormat="1" ht="15.75" thickBot="1">
      <c r="A75" s="90">
        <v>31</v>
      </c>
      <c r="B75" s="300"/>
      <c r="C75" s="106" t="s">
        <v>132</v>
      </c>
      <c r="D75" s="91">
        <v>2.66</v>
      </c>
      <c r="E75" s="94">
        <v>3</v>
      </c>
      <c r="F75" s="91">
        <v>9.1859999999999999</v>
      </c>
      <c r="G75" s="104">
        <f t="shared" si="226"/>
        <v>7.98</v>
      </c>
      <c r="H75" s="104">
        <f t="shared" ref="H75:H81" si="250">D75*E75*F75*10.76</f>
        <v>788.75405280000007</v>
      </c>
      <c r="I75" s="91">
        <v>30</v>
      </c>
      <c r="J75" s="92">
        <f t="shared" ref="J75:J81" si="251">H75*I75/60</f>
        <v>394.37702640000003</v>
      </c>
      <c r="K75" s="91">
        <v>0</v>
      </c>
      <c r="L75" s="91">
        <v>0</v>
      </c>
      <c r="M75" s="92">
        <f t="shared" ref="M75:M81" si="252">J75*1</f>
        <v>394.37702640000003</v>
      </c>
      <c r="N75" s="92">
        <f t="shared" ref="N75:N81" si="253">J75*1</f>
        <v>394.37702640000003</v>
      </c>
      <c r="O75" s="93">
        <v>0</v>
      </c>
      <c r="P75" s="92">
        <f t="shared" si="227"/>
        <v>414.09587772000003</v>
      </c>
      <c r="Q75" s="94">
        <v>0</v>
      </c>
      <c r="R75" s="94">
        <v>0</v>
      </c>
      <c r="S75" s="301"/>
      <c r="T75" s="297"/>
      <c r="U75" s="297"/>
      <c r="V75" s="297"/>
      <c r="W75" s="297"/>
      <c r="X75" s="297"/>
      <c r="Y75" s="91" t="s">
        <v>106</v>
      </c>
      <c r="Z75" s="91" t="s">
        <v>106</v>
      </c>
      <c r="AA75" s="91">
        <v>106</v>
      </c>
      <c r="AB75" s="91" t="s">
        <v>106</v>
      </c>
      <c r="AC75" s="92" t="e">
        <f t="shared" si="228"/>
        <v>#VALUE!</v>
      </c>
      <c r="AD75" s="92" t="e">
        <f t="shared" si="229"/>
        <v>#VALUE!</v>
      </c>
      <c r="AE75" s="92" t="e">
        <f t="shared" si="230"/>
        <v>#VALUE!</v>
      </c>
      <c r="AF75" s="92" t="e">
        <f t="shared" si="231"/>
        <v>#VALUE!</v>
      </c>
      <c r="AG75" s="92">
        <f t="shared" si="232"/>
        <v>150.26339999999999</v>
      </c>
      <c r="AH75" s="92" t="e">
        <f t="shared" si="233"/>
        <v>#VALUE!</v>
      </c>
      <c r="AI75" s="92">
        <f t="shared" si="234"/>
        <v>0</v>
      </c>
      <c r="AJ75" s="92" t="e">
        <f t="shared" si="235"/>
        <v>#VALUE!</v>
      </c>
      <c r="AK75" s="92" t="e">
        <f t="shared" si="236"/>
        <v>#VALUE!</v>
      </c>
      <c r="AL75" s="92" t="e">
        <f t="shared" si="237"/>
        <v>#VALUE!</v>
      </c>
      <c r="AM75" s="92">
        <f t="shared" si="238"/>
        <v>0</v>
      </c>
      <c r="AN75" s="92" t="e">
        <f t="shared" si="239"/>
        <v>#VALUE!</v>
      </c>
      <c r="AO75" s="92" t="e">
        <f t="shared" si="240"/>
        <v>#VALUE!</v>
      </c>
      <c r="AP75" s="92" t="e">
        <f t="shared" si="241"/>
        <v>#VALUE!</v>
      </c>
      <c r="AQ75" s="92" t="e">
        <f t="shared" si="242"/>
        <v>#VALUE!</v>
      </c>
      <c r="AR75" s="92">
        <f t="shared" si="243"/>
        <v>42479.138267596813</v>
      </c>
      <c r="AS75" s="92" t="e">
        <f t="shared" si="244"/>
        <v>#VALUE!</v>
      </c>
      <c r="AT75" s="92" t="e">
        <f t="shared" si="245"/>
        <v>#VALUE!</v>
      </c>
      <c r="AU75" s="92">
        <v>49</v>
      </c>
      <c r="AV75" s="92" t="e">
        <f t="shared" si="246"/>
        <v>#VALUE!</v>
      </c>
      <c r="AW75" s="282">
        <v>5</v>
      </c>
      <c r="AX75" s="282">
        <f t="shared" ref="AX75:AX81" si="254">CEILING(IF(AW75=5,P75*1/350,(IF(AWB75=20,P75*1/300,0))),2)</f>
        <v>2</v>
      </c>
      <c r="AY75" s="282">
        <f t="shared" ref="AY75:AY81" si="255">CEILING(IF(AW75=100000,P75*1/275,0),2)</f>
        <v>0</v>
      </c>
      <c r="AZ75" s="282">
        <f t="shared" ref="AZ75:AZ81" si="256">CEILING(IF(AW75=100000,P75*1/225,(IF(AWB75=10000,P75*1/225,0))),2)</f>
        <v>0</v>
      </c>
      <c r="BA75" s="282">
        <f t="shared" ref="BA75:BA81" si="257">CEILING(IF(AW75=1000,P75*1/100,(IF(AWB75=100,P75*1/100,0))),2)</f>
        <v>0</v>
      </c>
      <c r="BB75" s="303"/>
      <c r="BC75" s="303"/>
      <c r="BD75" s="303"/>
      <c r="BE75" s="303"/>
      <c r="BF75" s="303"/>
      <c r="BG75" s="303"/>
      <c r="BH75" s="303"/>
      <c r="BI75" s="303"/>
      <c r="BJ75" s="336"/>
      <c r="BK75" s="116"/>
    </row>
    <row r="76" spans="1:63" s="89" customFormat="1">
      <c r="A76" s="90">
        <v>32</v>
      </c>
      <c r="B76" s="300"/>
      <c r="C76" s="106" t="s">
        <v>133</v>
      </c>
      <c r="D76" s="91">
        <v>19.105</v>
      </c>
      <c r="E76" s="94">
        <v>3</v>
      </c>
      <c r="F76" s="91">
        <v>11.483000000000001</v>
      </c>
      <c r="G76" s="104">
        <f t="shared" si="226"/>
        <v>57.314999999999998</v>
      </c>
      <c r="H76" s="104">
        <f t="shared" si="250"/>
        <v>7081.6740401999996</v>
      </c>
      <c r="I76" s="91">
        <v>30</v>
      </c>
      <c r="J76" s="92">
        <f t="shared" si="251"/>
        <v>3540.8370200999998</v>
      </c>
      <c r="K76" s="91">
        <v>0</v>
      </c>
      <c r="L76" s="91">
        <v>0</v>
      </c>
      <c r="M76" s="92">
        <f t="shared" si="252"/>
        <v>3540.8370200999998</v>
      </c>
      <c r="N76" s="92">
        <f t="shared" si="253"/>
        <v>3540.8370200999998</v>
      </c>
      <c r="O76" s="93">
        <v>0</v>
      </c>
      <c r="P76" s="92">
        <f t="shared" si="227"/>
        <v>3717.8788711050001</v>
      </c>
      <c r="Q76" s="94">
        <v>0</v>
      </c>
      <c r="R76" s="94">
        <v>0</v>
      </c>
      <c r="S76" s="301"/>
      <c r="T76" s="297"/>
      <c r="U76" s="297"/>
      <c r="V76" s="297"/>
      <c r="W76" s="297"/>
      <c r="X76" s="297"/>
      <c r="Y76" s="91" t="s">
        <v>106</v>
      </c>
      <c r="Z76" s="91" t="s">
        <v>106</v>
      </c>
      <c r="AA76" s="91">
        <v>106</v>
      </c>
      <c r="AB76" s="91" t="s">
        <v>106</v>
      </c>
      <c r="AC76" s="92" t="e">
        <f t="shared" si="228"/>
        <v>#VALUE!</v>
      </c>
      <c r="AD76" s="92" t="e">
        <f t="shared" si="229"/>
        <v>#VALUE!</v>
      </c>
      <c r="AE76" s="92" t="e">
        <f t="shared" si="230"/>
        <v>#VALUE!</v>
      </c>
      <c r="AF76" s="92" t="e">
        <f t="shared" si="231"/>
        <v>#VALUE!</v>
      </c>
      <c r="AG76" s="92">
        <f t="shared" si="232"/>
        <v>1079.24145</v>
      </c>
      <c r="AH76" s="92" t="e">
        <f t="shared" si="233"/>
        <v>#VALUE!</v>
      </c>
      <c r="AI76" s="92">
        <f t="shared" si="234"/>
        <v>0</v>
      </c>
      <c r="AJ76" s="92" t="e">
        <f t="shared" si="235"/>
        <v>#VALUE!</v>
      </c>
      <c r="AK76" s="92" t="e">
        <f t="shared" si="236"/>
        <v>#VALUE!</v>
      </c>
      <c r="AL76" s="92" t="e">
        <f t="shared" si="237"/>
        <v>#VALUE!</v>
      </c>
      <c r="AM76" s="92">
        <f t="shared" si="238"/>
        <v>0</v>
      </c>
      <c r="AN76" s="92" t="e">
        <f t="shared" si="239"/>
        <v>#VALUE!</v>
      </c>
      <c r="AO76" s="92" t="e">
        <f t="shared" si="240"/>
        <v>#VALUE!</v>
      </c>
      <c r="AP76" s="92" t="e">
        <f t="shared" si="241"/>
        <v>#VALUE!</v>
      </c>
      <c r="AQ76" s="92" t="e">
        <f t="shared" si="242"/>
        <v>#VALUE!</v>
      </c>
      <c r="AR76" s="92">
        <f t="shared" si="243"/>
        <v>381390.63710901124</v>
      </c>
      <c r="AS76" s="92" t="e">
        <f t="shared" si="244"/>
        <v>#VALUE!</v>
      </c>
      <c r="AT76" s="92" t="e">
        <f t="shared" si="245"/>
        <v>#VALUE!</v>
      </c>
      <c r="AU76" s="92">
        <v>49</v>
      </c>
      <c r="AV76" s="92" t="e">
        <f t="shared" si="246"/>
        <v>#VALUE!</v>
      </c>
      <c r="AW76" s="282">
        <v>5</v>
      </c>
      <c r="AX76" s="282">
        <f t="shared" si="254"/>
        <v>12</v>
      </c>
      <c r="AY76" s="282">
        <f t="shared" si="255"/>
        <v>0</v>
      </c>
      <c r="AZ76" s="282">
        <f t="shared" si="256"/>
        <v>0</v>
      </c>
      <c r="BA76" s="282">
        <f t="shared" si="257"/>
        <v>0</v>
      </c>
      <c r="BB76" s="303"/>
      <c r="BC76" s="303"/>
      <c r="BD76" s="303"/>
      <c r="BE76" s="303"/>
      <c r="BF76" s="303"/>
      <c r="BG76" s="303"/>
      <c r="BH76" s="303"/>
      <c r="BI76" s="303"/>
      <c r="BJ76" s="336"/>
      <c r="BK76" s="114"/>
    </row>
    <row r="77" spans="1:63" s="95" customFormat="1">
      <c r="A77" s="90">
        <v>32</v>
      </c>
      <c r="B77" s="300"/>
      <c r="C77" s="106" t="s">
        <v>133</v>
      </c>
      <c r="D77" s="91">
        <v>17.829999999999998</v>
      </c>
      <c r="E77" s="94">
        <v>2</v>
      </c>
      <c r="F77" s="91">
        <v>11.483000000000001</v>
      </c>
      <c r="G77" s="104">
        <f t="shared" si="226"/>
        <v>35.659999999999997</v>
      </c>
      <c r="H77" s="104">
        <f t="shared" si="250"/>
        <v>4406.0454727999995</v>
      </c>
      <c r="I77" s="91">
        <v>30</v>
      </c>
      <c r="J77" s="92">
        <f t="shared" si="251"/>
        <v>2203.0227363999998</v>
      </c>
      <c r="K77" s="91">
        <v>0</v>
      </c>
      <c r="L77" s="91">
        <v>0</v>
      </c>
      <c r="M77" s="92">
        <f t="shared" si="252"/>
        <v>2203.0227363999998</v>
      </c>
      <c r="N77" s="92">
        <f t="shared" si="253"/>
        <v>2203.0227363999998</v>
      </c>
      <c r="O77" s="93">
        <v>0</v>
      </c>
      <c r="P77" s="92">
        <f t="shared" si="227"/>
        <v>2313.1738732199997</v>
      </c>
      <c r="Q77" s="94">
        <v>0</v>
      </c>
      <c r="R77" s="94">
        <v>0</v>
      </c>
      <c r="S77" s="301"/>
      <c r="T77" s="297"/>
      <c r="U77" s="297"/>
      <c r="V77" s="297"/>
      <c r="W77" s="297"/>
      <c r="X77" s="297"/>
      <c r="Y77" s="91" t="s">
        <v>106</v>
      </c>
      <c r="Z77" s="91" t="s">
        <v>106</v>
      </c>
      <c r="AA77" s="91">
        <v>106</v>
      </c>
      <c r="AB77" s="91" t="s">
        <v>106</v>
      </c>
      <c r="AC77" s="92" t="e">
        <f t="shared" si="228"/>
        <v>#VALUE!</v>
      </c>
      <c r="AD77" s="92" t="e">
        <f t="shared" si="229"/>
        <v>#VALUE!</v>
      </c>
      <c r="AE77" s="92" t="e">
        <f t="shared" si="230"/>
        <v>#VALUE!</v>
      </c>
      <c r="AF77" s="92" t="e">
        <f t="shared" si="231"/>
        <v>#VALUE!</v>
      </c>
      <c r="AG77" s="92">
        <f t="shared" si="232"/>
        <v>671.47779999999989</v>
      </c>
      <c r="AH77" s="92" t="e">
        <f t="shared" si="233"/>
        <v>#VALUE!</v>
      </c>
      <c r="AI77" s="92">
        <f t="shared" si="234"/>
        <v>0</v>
      </c>
      <c r="AJ77" s="92" t="e">
        <f t="shared" si="235"/>
        <v>#VALUE!</v>
      </c>
      <c r="AK77" s="92" t="e">
        <f t="shared" si="236"/>
        <v>#VALUE!</v>
      </c>
      <c r="AL77" s="92" t="e">
        <f t="shared" si="237"/>
        <v>#VALUE!</v>
      </c>
      <c r="AM77" s="92">
        <f t="shared" si="238"/>
        <v>0</v>
      </c>
      <c r="AN77" s="92" t="e">
        <f t="shared" si="239"/>
        <v>#VALUE!</v>
      </c>
      <c r="AO77" s="92" t="e">
        <f t="shared" si="240"/>
        <v>#VALUE!</v>
      </c>
      <c r="AP77" s="92" t="e">
        <f t="shared" si="241"/>
        <v>#VALUE!</v>
      </c>
      <c r="AQ77" s="92" t="e">
        <f t="shared" si="242"/>
        <v>#VALUE!</v>
      </c>
      <c r="AR77" s="92">
        <f t="shared" si="243"/>
        <v>237291.9849831168</v>
      </c>
      <c r="AS77" s="92" t="e">
        <f t="shared" si="244"/>
        <v>#VALUE!</v>
      </c>
      <c r="AT77" s="92" t="e">
        <f t="shared" si="245"/>
        <v>#VALUE!</v>
      </c>
      <c r="AU77" s="92">
        <v>49</v>
      </c>
      <c r="AV77" s="92" t="e">
        <f t="shared" si="246"/>
        <v>#VALUE!</v>
      </c>
      <c r="AW77" s="282">
        <v>5</v>
      </c>
      <c r="AX77" s="282">
        <f t="shared" si="254"/>
        <v>8</v>
      </c>
      <c r="AY77" s="282">
        <f t="shared" si="255"/>
        <v>0</v>
      </c>
      <c r="AZ77" s="282">
        <f t="shared" si="256"/>
        <v>0</v>
      </c>
      <c r="BA77" s="282">
        <f t="shared" si="257"/>
        <v>0</v>
      </c>
      <c r="BB77" s="303"/>
      <c r="BC77" s="303"/>
      <c r="BD77" s="303"/>
      <c r="BE77" s="303"/>
      <c r="BF77" s="303"/>
      <c r="BG77" s="303"/>
      <c r="BH77" s="303"/>
      <c r="BI77" s="303"/>
      <c r="BJ77" s="336"/>
      <c r="BK77" s="115"/>
    </row>
    <row r="78" spans="1:63" s="100" customFormat="1" ht="15.75" thickBot="1">
      <c r="A78" s="90">
        <v>33</v>
      </c>
      <c r="B78" s="300"/>
      <c r="C78" s="106" t="s">
        <v>134</v>
      </c>
      <c r="D78" s="91">
        <v>2.66</v>
      </c>
      <c r="E78" s="94">
        <v>3</v>
      </c>
      <c r="F78" s="91">
        <v>9.1859999999999999</v>
      </c>
      <c r="G78" s="104">
        <f t="shared" si="226"/>
        <v>7.98</v>
      </c>
      <c r="H78" s="104">
        <f t="shared" si="250"/>
        <v>788.75405280000007</v>
      </c>
      <c r="I78" s="91">
        <v>30</v>
      </c>
      <c r="J78" s="92">
        <f t="shared" si="251"/>
        <v>394.37702640000003</v>
      </c>
      <c r="K78" s="91">
        <v>0</v>
      </c>
      <c r="L78" s="91">
        <v>0</v>
      </c>
      <c r="M78" s="92">
        <f t="shared" si="252"/>
        <v>394.37702640000003</v>
      </c>
      <c r="N78" s="92">
        <f t="shared" si="253"/>
        <v>394.37702640000003</v>
      </c>
      <c r="O78" s="93">
        <v>0</v>
      </c>
      <c r="P78" s="92">
        <f t="shared" si="227"/>
        <v>414.09587772000003</v>
      </c>
      <c r="Q78" s="94">
        <v>0</v>
      </c>
      <c r="R78" s="94">
        <v>0</v>
      </c>
      <c r="S78" s="301"/>
      <c r="T78" s="297"/>
      <c r="U78" s="297"/>
      <c r="V78" s="297"/>
      <c r="W78" s="297"/>
      <c r="X78" s="297"/>
      <c r="Y78" s="91" t="s">
        <v>106</v>
      </c>
      <c r="Z78" s="91" t="s">
        <v>106</v>
      </c>
      <c r="AA78" s="91">
        <v>106</v>
      </c>
      <c r="AB78" s="91" t="s">
        <v>106</v>
      </c>
      <c r="AC78" s="92" t="e">
        <f t="shared" si="228"/>
        <v>#VALUE!</v>
      </c>
      <c r="AD78" s="92" t="e">
        <f t="shared" si="229"/>
        <v>#VALUE!</v>
      </c>
      <c r="AE78" s="92" t="e">
        <f t="shared" si="230"/>
        <v>#VALUE!</v>
      </c>
      <c r="AF78" s="92" t="e">
        <f t="shared" si="231"/>
        <v>#VALUE!</v>
      </c>
      <c r="AG78" s="92">
        <f t="shared" si="232"/>
        <v>150.26339999999999</v>
      </c>
      <c r="AH78" s="92" t="e">
        <f t="shared" si="233"/>
        <v>#VALUE!</v>
      </c>
      <c r="AI78" s="92">
        <f t="shared" si="234"/>
        <v>0</v>
      </c>
      <c r="AJ78" s="92" t="e">
        <f t="shared" si="235"/>
        <v>#VALUE!</v>
      </c>
      <c r="AK78" s="92" t="e">
        <f t="shared" si="236"/>
        <v>#VALUE!</v>
      </c>
      <c r="AL78" s="92" t="e">
        <f t="shared" si="237"/>
        <v>#VALUE!</v>
      </c>
      <c r="AM78" s="92">
        <f t="shared" si="238"/>
        <v>0</v>
      </c>
      <c r="AN78" s="92" t="e">
        <f t="shared" si="239"/>
        <v>#VALUE!</v>
      </c>
      <c r="AO78" s="92" t="e">
        <f t="shared" si="240"/>
        <v>#VALUE!</v>
      </c>
      <c r="AP78" s="92" t="e">
        <f t="shared" si="241"/>
        <v>#VALUE!</v>
      </c>
      <c r="AQ78" s="92" t="e">
        <f t="shared" si="242"/>
        <v>#VALUE!</v>
      </c>
      <c r="AR78" s="92">
        <f t="shared" si="243"/>
        <v>42479.138267596813</v>
      </c>
      <c r="AS78" s="92" t="e">
        <f t="shared" si="244"/>
        <v>#VALUE!</v>
      </c>
      <c r="AT78" s="92" t="e">
        <f t="shared" si="245"/>
        <v>#VALUE!</v>
      </c>
      <c r="AU78" s="92">
        <v>49</v>
      </c>
      <c r="AV78" s="92" t="e">
        <f t="shared" si="246"/>
        <v>#VALUE!</v>
      </c>
      <c r="AW78" s="282">
        <v>5</v>
      </c>
      <c r="AX78" s="282">
        <f t="shared" si="254"/>
        <v>2</v>
      </c>
      <c r="AY78" s="282">
        <f t="shared" si="255"/>
        <v>0</v>
      </c>
      <c r="AZ78" s="282">
        <f t="shared" si="256"/>
        <v>0</v>
      </c>
      <c r="BA78" s="282">
        <f t="shared" si="257"/>
        <v>0</v>
      </c>
      <c r="BB78" s="303"/>
      <c r="BC78" s="303"/>
      <c r="BD78" s="303"/>
      <c r="BE78" s="303"/>
      <c r="BF78" s="303"/>
      <c r="BG78" s="303"/>
      <c r="BH78" s="303"/>
      <c r="BI78" s="303"/>
      <c r="BJ78" s="336"/>
      <c r="BK78" s="116"/>
    </row>
    <row r="79" spans="1:63" s="89" customFormat="1">
      <c r="A79" s="90">
        <v>34</v>
      </c>
      <c r="B79" s="300"/>
      <c r="C79" s="106" t="s">
        <v>114</v>
      </c>
      <c r="D79" s="91">
        <v>2.0099999999999998</v>
      </c>
      <c r="E79" s="94">
        <v>3</v>
      </c>
      <c r="F79" s="91">
        <v>9.1859999999999999</v>
      </c>
      <c r="G79" s="104">
        <f t="shared" si="226"/>
        <v>6.0299999999999994</v>
      </c>
      <c r="H79" s="104">
        <f t="shared" si="250"/>
        <v>596.01340079999989</v>
      </c>
      <c r="I79" s="91">
        <v>30</v>
      </c>
      <c r="J79" s="92">
        <f t="shared" si="251"/>
        <v>298.00670039999994</v>
      </c>
      <c r="K79" s="91">
        <v>0</v>
      </c>
      <c r="L79" s="91">
        <v>0</v>
      </c>
      <c r="M79" s="92">
        <f t="shared" si="252"/>
        <v>298.00670039999994</v>
      </c>
      <c r="N79" s="92">
        <f t="shared" si="253"/>
        <v>298.00670039999994</v>
      </c>
      <c r="O79" s="93">
        <v>0</v>
      </c>
      <c r="P79" s="92">
        <f t="shared" si="227"/>
        <v>312.90703541999994</v>
      </c>
      <c r="Q79" s="94">
        <v>0</v>
      </c>
      <c r="R79" s="94">
        <v>0</v>
      </c>
      <c r="S79" s="301"/>
      <c r="T79" s="297"/>
      <c r="U79" s="297"/>
      <c r="V79" s="297"/>
      <c r="W79" s="297"/>
      <c r="X79" s="297"/>
      <c r="Y79" s="91" t="s">
        <v>106</v>
      </c>
      <c r="Z79" s="91" t="s">
        <v>106</v>
      </c>
      <c r="AA79" s="91">
        <v>106</v>
      </c>
      <c r="AB79" s="91" t="s">
        <v>106</v>
      </c>
      <c r="AC79" s="92" t="e">
        <f t="shared" si="228"/>
        <v>#VALUE!</v>
      </c>
      <c r="AD79" s="92" t="e">
        <f t="shared" si="229"/>
        <v>#VALUE!</v>
      </c>
      <c r="AE79" s="92" t="e">
        <f t="shared" si="230"/>
        <v>#VALUE!</v>
      </c>
      <c r="AF79" s="92" t="e">
        <f t="shared" si="231"/>
        <v>#VALUE!</v>
      </c>
      <c r="AG79" s="92">
        <f t="shared" si="232"/>
        <v>113.54489999999998</v>
      </c>
      <c r="AH79" s="92" t="e">
        <f t="shared" si="233"/>
        <v>#VALUE!</v>
      </c>
      <c r="AI79" s="92">
        <f t="shared" si="234"/>
        <v>0</v>
      </c>
      <c r="AJ79" s="92" t="e">
        <f t="shared" si="235"/>
        <v>#VALUE!</v>
      </c>
      <c r="AK79" s="92" t="e">
        <f t="shared" si="236"/>
        <v>#VALUE!</v>
      </c>
      <c r="AL79" s="92" t="e">
        <f t="shared" si="237"/>
        <v>#VALUE!</v>
      </c>
      <c r="AM79" s="92">
        <f t="shared" si="238"/>
        <v>0</v>
      </c>
      <c r="AN79" s="92" t="e">
        <f t="shared" si="239"/>
        <v>#VALUE!</v>
      </c>
      <c r="AO79" s="92" t="e">
        <f t="shared" si="240"/>
        <v>#VALUE!</v>
      </c>
      <c r="AP79" s="92" t="e">
        <f t="shared" si="241"/>
        <v>#VALUE!</v>
      </c>
      <c r="AQ79" s="92" t="e">
        <f t="shared" si="242"/>
        <v>#VALUE!</v>
      </c>
      <c r="AR79" s="92">
        <f t="shared" si="243"/>
        <v>32098.897713484796</v>
      </c>
      <c r="AS79" s="92" t="e">
        <f t="shared" si="244"/>
        <v>#VALUE!</v>
      </c>
      <c r="AT79" s="92" t="e">
        <f t="shared" si="245"/>
        <v>#VALUE!</v>
      </c>
      <c r="AU79" s="92">
        <v>49</v>
      </c>
      <c r="AV79" s="92" t="e">
        <f t="shared" si="246"/>
        <v>#VALUE!</v>
      </c>
      <c r="AW79" s="282">
        <v>5</v>
      </c>
      <c r="AX79" s="282">
        <f t="shared" si="254"/>
        <v>2</v>
      </c>
      <c r="AY79" s="282">
        <f t="shared" si="255"/>
        <v>0</v>
      </c>
      <c r="AZ79" s="282">
        <f t="shared" si="256"/>
        <v>0</v>
      </c>
      <c r="BA79" s="282">
        <f t="shared" si="257"/>
        <v>0</v>
      </c>
      <c r="BB79" s="303"/>
      <c r="BC79" s="303"/>
      <c r="BD79" s="303"/>
      <c r="BE79" s="303"/>
      <c r="BF79" s="303"/>
      <c r="BG79" s="303"/>
      <c r="BH79" s="303"/>
      <c r="BI79" s="303"/>
      <c r="BJ79" s="336"/>
      <c r="BK79" s="114"/>
    </row>
    <row r="80" spans="1:63" s="95" customFormat="1">
      <c r="A80" s="90">
        <v>35</v>
      </c>
      <c r="B80" s="300"/>
      <c r="C80" s="106" t="s">
        <v>131</v>
      </c>
      <c r="D80" s="91">
        <v>1.8169999999999999</v>
      </c>
      <c r="E80" s="94">
        <v>2.5</v>
      </c>
      <c r="F80" s="91">
        <v>9.1859999999999999</v>
      </c>
      <c r="G80" s="104">
        <f t="shared" si="226"/>
        <v>4.5424999999999995</v>
      </c>
      <c r="H80" s="104">
        <f t="shared" si="250"/>
        <v>448.98687779999995</v>
      </c>
      <c r="I80" s="91">
        <v>30</v>
      </c>
      <c r="J80" s="92">
        <f t="shared" si="251"/>
        <v>224.49343889999997</v>
      </c>
      <c r="K80" s="91">
        <v>0</v>
      </c>
      <c r="L80" s="91">
        <v>0</v>
      </c>
      <c r="M80" s="92">
        <f t="shared" si="252"/>
        <v>224.49343889999997</v>
      </c>
      <c r="N80" s="92">
        <f t="shared" si="253"/>
        <v>224.49343889999997</v>
      </c>
      <c r="O80" s="93">
        <v>0</v>
      </c>
      <c r="P80" s="92">
        <f t="shared" si="227"/>
        <v>235.71811084499998</v>
      </c>
      <c r="Q80" s="94">
        <v>0</v>
      </c>
      <c r="R80" s="94">
        <v>0</v>
      </c>
      <c r="S80" s="301"/>
      <c r="T80" s="297"/>
      <c r="U80" s="297"/>
      <c r="V80" s="297"/>
      <c r="W80" s="297"/>
      <c r="X80" s="297"/>
      <c r="Y80" s="91" t="s">
        <v>106</v>
      </c>
      <c r="Z80" s="91" t="s">
        <v>106</v>
      </c>
      <c r="AA80" s="91">
        <v>106</v>
      </c>
      <c r="AB80" s="91" t="s">
        <v>106</v>
      </c>
      <c r="AC80" s="92" t="e">
        <f t="shared" si="228"/>
        <v>#VALUE!</v>
      </c>
      <c r="AD80" s="92" t="e">
        <f t="shared" si="229"/>
        <v>#VALUE!</v>
      </c>
      <c r="AE80" s="92" t="e">
        <f t="shared" si="230"/>
        <v>#VALUE!</v>
      </c>
      <c r="AF80" s="92" t="e">
        <f t="shared" si="231"/>
        <v>#VALUE!</v>
      </c>
      <c r="AG80" s="92">
        <f t="shared" si="232"/>
        <v>85.535274999999984</v>
      </c>
      <c r="AH80" s="92" t="e">
        <f t="shared" si="233"/>
        <v>#VALUE!</v>
      </c>
      <c r="AI80" s="92">
        <f t="shared" si="234"/>
        <v>0</v>
      </c>
      <c r="AJ80" s="92" t="e">
        <f t="shared" si="235"/>
        <v>#VALUE!</v>
      </c>
      <c r="AK80" s="92" t="e">
        <f t="shared" si="236"/>
        <v>#VALUE!</v>
      </c>
      <c r="AL80" s="92" t="e">
        <f t="shared" si="237"/>
        <v>#VALUE!</v>
      </c>
      <c r="AM80" s="92">
        <f t="shared" si="238"/>
        <v>0</v>
      </c>
      <c r="AN80" s="92" t="e">
        <f t="shared" si="239"/>
        <v>#VALUE!</v>
      </c>
      <c r="AO80" s="92" t="e">
        <f t="shared" si="240"/>
        <v>#VALUE!</v>
      </c>
      <c r="AP80" s="92" t="e">
        <f t="shared" si="241"/>
        <v>#VALUE!</v>
      </c>
      <c r="AQ80" s="92" t="e">
        <f t="shared" si="242"/>
        <v>#VALUE!</v>
      </c>
      <c r="AR80" s="92">
        <f t="shared" si="243"/>
        <v>24180.637290796803</v>
      </c>
      <c r="AS80" s="92" t="e">
        <f t="shared" si="244"/>
        <v>#VALUE!</v>
      </c>
      <c r="AT80" s="92" t="e">
        <f t="shared" si="245"/>
        <v>#VALUE!</v>
      </c>
      <c r="AU80" s="92">
        <v>49</v>
      </c>
      <c r="AV80" s="92" t="e">
        <f t="shared" si="246"/>
        <v>#VALUE!</v>
      </c>
      <c r="AW80" s="282">
        <v>5</v>
      </c>
      <c r="AX80" s="282">
        <f t="shared" si="254"/>
        <v>2</v>
      </c>
      <c r="AY80" s="282">
        <f t="shared" si="255"/>
        <v>0</v>
      </c>
      <c r="AZ80" s="282">
        <f t="shared" si="256"/>
        <v>0</v>
      </c>
      <c r="BA80" s="282">
        <f t="shared" si="257"/>
        <v>0</v>
      </c>
      <c r="BB80" s="303"/>
      <c r="BC80" s="303"/>
      <c r="BD80" s="303"/>
      <c r="BE80" s="303"/>
      <c r="BF80" s="303"/>
      <c r="BG80" s="303"/>
      <c r="BH80" s="303"/>
      <c r="BI80" s="303"/>
      <c r="BJ80" s="336"/>
      <c r="BK80" s="115"/>
    </row>
    <row r="81" spans="1:63" s="95" customFormat="1" ht="15.75" thickBot="1">
      <c r="A81" s="90">
        <v>36</v>
      </c>
      <c r="B81" s="300"/>
      <c r="C81" s="106" t="s">
        <v>135</v>
      </c>
      <c r="D81" s="91">
        <v>2.86</v>
      </c>
      <c r="E81" s="94">
        <v>3.0510000000000002</v>
      </c>
      <c r="F81" s="91">
        <v>9.1859999999999999</v>
      </c>
      <c r="G81" s="104">
        <f t="shared" si="226"/>
        <v>8.7258600000000008</v>
      </c>
      <c r="H81" s="104">
        <f t="shared" si="250"/>
        <v>862.47586956960004</v>
      </c>
      <c r="I81" s="91">
        <v>30</v>
      </c>
      <c r="J81" s="92">
        <f t="shared" si="251"/>
        <v>431.23793478480002</v>
      </c>
      <c r="K81" s="91">
        <v>0</v>
      </c>
      <c r="L81" s="91">
        <v>0</v>
      </c>
      <c r="M81" s="92">
        <f t="shared" si="252"/>
        <v>431.23793478480002</v>
      </c>
      <c r="N81" s="92">
        <f t="shared" si="253"/>
        <v>431.23793478480002</v>
      </c>
      <c r="O81" s="93">
        <v>0</v>
      </c>
      <c r="P81" s="92">
        <f t="shared" si="227"/>
        <v>452.79983152404003</v>
      </c>
      <c r="Q81" s="94">
        <v>0</v>
      </c>
      <c r="R81" s="94">
        <v>0</v>
      </c>
      <c r="S81" s="301"/>
      <c r="T81" s="298"/>
      <c r="U81" s="298"/>
      <c r="V81" s="298"/>
      <c r="W81" s="298"/>
      <c r="X81" s="298"/>
      <c r="Y81" s="91" t="s">
        <v>106</v>
      </c>
      <c r="Z81" s="91" t="s">
        <v>106</v>
      </c>
      <c r="AA81" s="91">
        <v>106</v>
      </c>
      <c r="AB81" s="91" t="s">
        <v>106</v>
      </c>
      <c r="AC81" s="92" t="e">
        <f t="shared" si="228"/>
        <v>#VALUE!</v>
      </c>
      <c r="AD81" s="92" t="e">
        <f t="shared" si="229"/>
        <v>#VALUE!</v>
      </c>
      <c r="AE81" s="92" t="e">
        <f t="shared" si="230"/>
        <v>#VALUE!</v>
      </c>
      <c r="AF81" s="92" t="e">
        <f t="shared" si="231"/>
        <v>#VALUE!</v>
      </c>
      <c r="AG81" s="92">
        <f t="shared" si="232"/>
        <v>164.30794380000003</v>
      </c>
      <c r="AH81" s="92" t="e">
        <f t="shared" si="233"/>
        <v>#VALUE!</v>
      </c>
      <c r="AI81" s="92">
        <f t="shared" si="234"/>
        <v>0</v>
      </c>
      <c r="AJ81" s="92" t="e">
        <f t="shared" si="235"/>
        <v>#VALUE!</v>
      </c>
      <c r="AK81" s="92" t="e">
        <f t="shared" si="236"/>
        <v>#VALUE!</v>
      </c>
      <c r="AL81" s="92" t="e">
        <f t="shared" si="237"/>
        <v>#VALUE!</v>
      </c>
      <c r="AM81" s="92">
        <f t="shared" si="238"/>
        <v>0</v>
      </c>
      <c r="AN81" s="92" t="e">
        <f t="shared" si="239"/>
        <v>#VALUE!</v>
      </c>
      <c r="AO81" s="92" t="e">
        <f t="shared" si="240"/>
        <v>#VALUE!</v>
      </c>
      <c r="AP81" s="92" t="e">
        <f t="shared" si="241"/>
        <v>#VALUE!</v>
      </c>
      <c r="AQ81" s="92" t="e">
        <f t="shared" si="242"/>
        <v>#VALUE!</v>
      </c>
      <c r="AR81" s="92">
        <f t="shared" si="243"/>
        <v>46449.500431540386</v>
      </c>
      <c r="AS81" s="92" t="e">
        <f t="shared" si="244"/>
        <v>#VALUE!</v>
      </c>
      <c r="AT81" s="92" t="e">
        <f t="shared" si="245"/>
        <v>#VALUE!</v>
      </c>
      <c r="AU81" s="92">
        <v>49</v>
      </c>
      <c r="AV81" s="92" t="e">
        <f t="shared" si="246"/>
        <v>#VALUE!</v>
      </c>
      <c r="AW81" s="282">
        <v>5</v>
      </c>
      <c r="AX81" s="282">
        <f t="shared" si="254"/>
        <v>2</v>
      </c>
      <c r="AY81" s="282">
        <f t="shared" si="255"/>
        <v>0</v>
      </c>
      <c r="AZ81" s="282">
        <f t="shared" si="256"/>
        <v>0</v>
      </c>
      <c r="BA81" s="282">
        <f t="shared" si="257"/>
        <v>0</v>
      </c>
      <c r="BB81" s="303"/>
      <c r="BC81" s="303"/>
      <c r="BD81" s="303"/>
      <c r="BE81" s="303"/>
      <c r="BF81" s="303"/>
      <c r="BG81" s="303"/>
      <c r="BH81" s="303"/>
      <c r="BI81" s="303"/>
      <c r="BJ81" s="336"/>
      <c r="BK81" s="115"/>
    </row>
    <row r="82" spans="1:63" s="101" customFormat="1" ht="18" customHeight="1" thickBot="1">
      <c r="A82" s="96"/>
      <c r="B82" s="97"/>
      <c r="C82" s="139"/>
      <c r="D82" s="97"/>
      <c r="E82" s="99"/>
      <c r="F82" s="97"/>
      <c r="G82" s="173">
        <f>SUM(G74:G81)</f>
        <v>134.33536000000001</v>
      </c>
      <c r="H82" s="173">
        <f>SUM(H74:H81)</f>
        <v>15575.833745489601</v>
      </c>
      <c r="I82" s="177"/>
      <c r="J82" s="175">
        <f t="shared" ref="J82:R82" si="258">SUM(J74:J81)</f>
        <v>7787.9168727448005</v>
      </c>
      <c r="K82" s="174">
        <f t="shared" si="258"/>
        <v>0</v>
      </c>
      <c r="L82" s="174">
        <f t="shared" si="258"/>
        <v>0</v>
      </c>
      <c r="M82" s="175">
        <f t="shared" si="258"/>
        <v>7787.9168727448005</v>
      </c>
      <c r="N82" s="175">
        <f t="shared" si="258"/>
        <v>7787.9168727448005</v>
      </c>
      <c r="O82" s="175">
        <f t="shared" si="258"/>
        <v>0</v>
      </c>
      <c r="P82" s="175">
        <f t="shared" si="258"/>
        <v>8177.3127163820409</v>
      </c>
      <c r="Q82" s="176">
        <f t="shared" si="258"/>
        <v>0</v>
      </c>
      <c r="R82" s="176">
        <f t="shared" si="258"/>
        <v>0</v>
      </c>
      <c r="S82" s="213"/>
      <c r="T82" s="213"/>
      <c r="U82" s="213"/>
      <c r="V82" s="213"/>
      <c r="W82" s="213"/>
      <c r="X82" s="213"/>
      <c r="Y82" s="97"/>
      <c r="Z82" s="97"/>
      <c r="AA82" s="97"/>
      <c r="AB82" s="97"/>
      <c r="AC82" s="98"/>
      <c r="AD82" s="98"/>
      <c r="AE82" s="98"/>
      <c r="AF82" s="98"/>
      <c r="AG82" s="98"/>
      <c r="AH82" s="98"/>
      <c r="AI82" s="98"/>
      <c r="AJ82" s="98"/>
      <c r="AK82" s="98"/>
      <c r="AL82" s="98"/>
      <c r="AM82" s="98"/>
      <c r="AN82" s="98"/>
      <c r="AO82" s="98"/>
      <c r="AP82" s="98"/>
      <c r="AQ82" s="98"/>
      <c r="AR82" s="98"/>
      <c r="AS82" s="98"/>
      <c r="AT82" s="98"/>
      <c r="AU82" s="98"/>
      <c r="AV82" s="98"/>
      <c r="AW82" s="283"/>
      <c r="AX82" s="283"/>
      <c r="AY82" s="283"/>
      <c r="AZ82" s="283"/>
      <c r="BA82" s="283"/>
      <c r="BB82" s="171"/>
      <c r="BC82" s="122"/>
      <c r="BJ82" s="254"/>
      <c r="BK82" s="122"/>
    </row>
    <row r="83" spans="1:63" s="206" customFormat="1" ht="23.25">
      <c r="A83" s="183"/>
      <c r="B83" s="184">
        <v>11</v>
      </c>
      <c r="C83" s="185" t="s">
        <v>136</v>
      </c>
      <c r="D83" s="186"/>
      <c r="E83" s="187"/>
      <c r="F83" s="186"/>
      <c r="G83" s="188"/>
      <c r="H83" s="188"/>
      <c r="I83" s="186"/>
      <c r="J83" s="198"/>
      <c r="K83" s="199"/>
      <c r="L83" s="199"/>
      <c r="M83" s="198"/>
      <c r="N83" s="198"/>
      <c r="O83" s="200"/>
      <c r="P83" s="198"/>
      <c r="Q83" s="201"/>
      <c r="R83" s="201"/>
      <c r="S83" s="214"/>
      <c r="T83" s="214"/>
      <c r="U83" s="214"/>
      <c r="V83" s="214"/>
      <c r="W83" s="214"/>
      <c r="X83" s="214"/>
      <c r="Y83" s="186"/>
      <c r="Z83" s="186"/>
      <c r="AA83" s="186"/>
      <c r="AB83" s="186"/>
      <c r="AC83" s="189"/>
      <c r="AD83" s="189"/>
      <c r="AE83" s="189"/>
      <c r="AF83" s="189"/>
      <c r="AG83" s="189"/>
      <c r="AH83" s="189"/>
      <c r="AI83" s="189"/>
      <c r="AJ83" s="189"/>
      <c r="AK83" s="189"/>
      <c r="AL83" s="189"/>
      <c r="AM83" s="189"/>
      <c r="AN83" s="189"/>
      <c r="AO83" s="189"/>
      <c r="AP83" s="189"/>
      <c r="AQ83" s="189"/>
      <c r="AR83" s="189"/>
      <c r="AS83" s="189"/>
      <c r="AT83" s="189"/>
      <c r="AU83" s="189"/>
      <c r="AV83" s="189"/>
      <c r="AW83" s="281"/>
      <c r="AX83" s="281"/>
      <c r="AY83" s="281"/>
      <c r="AZ83" s="281"/>
      <c r="BA83" s="281"/>
      <c r="BB83" s="197"/>
      <c r="BC83" s="205"/>
      <c r="BJ83" s="257"/>
      <c r="BK83" s="205"/>
    </row>
    <row r="84" spans="1:63" s="95" customFormat="1">
      <c r="A84" s="90">
        <v>37</v>
      </c>
      <c r="B84" s="300" t="s">
        <v>137</v>
      </c>
      <c r="C84" s="106" t="s">
        <v>133</v>
      </c>
      <c r="D84" s="91">
        <v>22.244</v>
      </c>
      <c r="E84" s="94">
        <v>2.5</v>
      </c>
      <c r="F84" s="91">
        <v>9.843</v>
      </c>
      <c r="G84" s="104">
        <f t="shared" ref="G84:G88" si="259">D84*E84</f>
        <v>55.61</v>
      </c>
      <c r="H84" s="104">
        <f>D84*E84*F84*10.76</f>
        <v>5889.6929147999999</v>
      </c>
      <c r="I84" s="91">
        <v>15</v>
      </c>
      <c r="J84" s="92">
        <f>H84*I84/60</f>
        <v>1472.4232287</v>
      </c>
      <c r="K84" s="91">
        <v>0</v>
      </c>
      <c r="L84" s="91">
        <v>0</v>
      </c>
      <c r="M84" s="92">
        <f>J84*1</f>
        <v>1472.4232287</v>
      </c>
      <c r="N84" s="92">
        <f>J84*1</f>
        <v>1472.4232287</v>
      </c>
      <c r="O84" s="93">
        <v>0</v>
      </c>
      <c r="P84" s="92">
        <f t="shared" ref="P84:P88" si="260">MAX(J84,O84)*1.05</f>
        <v>1546.044390135</v>
      </c>
      <c r="Q84" s="94">
        <v>0</v>
      </c>
      <c r="R84" s="94">
        <v>0</v>
      </c>
      <c r="S84" s="301">
        <f>CEILING(MAX(SUM(Q84:Q88),SUM(R84:R88)),0.5)</f>
        <v>0</v>
      </c>
      <c r="T84" s="304">
        <f>S84*2.4</f>
        <v>0</v>
      </c>
      <c r="U84" s="304">
        <f>T84*0.0630902</f>
        <v>0</v>
      </c>
      <c r="V84" s="304">
        <f>0.26*SQRT(T84)</f>
        <v>0</v>
      </c>
      <c r="W84" s="304">
        <f>CEILING(V84,0.5)</f>
        <v>0</v>
      </c>
      <c r="X84" s="304" t="s">
        <v>106</v>
      </c>
      <c r="Y84" s="91" t="s">
        <v>106</v>
      </c>
      <c r="Z84" s="91" t="s">
        <v>106</v>
      </c>
      <c r="AA84" s="91">
        <v>106</v>
      </c>
      <c r="AB84" s="91" t="s">
        <v>106</v>
      </c>
      <c r="AC84" s="92" t="e">
        <f>(D84+E84)*2*10.76*F84*0.4*(AA84-AB84)</f>
        <v>#VALUE!</v>
      </c>
      <c r="AD84" s="92" t="e">
        <f>(D84+E84)*2*10.76*F84*0.28*(AA84-AB84)</f>
        <v>#VALUE!</v>
      </c>
      <c r="AE84" s="92" t="e">
        <f>D84*E84*0.4*10.76*(AA84-AB84)</f>
        <v>#VALUE!</v>
      </c>
      <c r="AF84" s="92" t="e">
        <f>D84*E84*0.4*10.76*(AA84-AB84)</f>
        <v>#VALUE!</v>
      </c>
      <c r="AG84" s="92">
        <f>D84*E84*1.75*10.76</f>
        <v>1047.1362999999999</v>
      </c>
      <c r="AH84" s="92" t="e">
        <f>L84*(3.5/2)*1.08*0.88*(AA84-AB84)*1000</f>
        <v>#VALUE!</v>
      </c>
      <c r="AI84" s="92">
        <f>K84*285</f>
        <v>0</v>
      </c>
      <c r="AJ84" s="92" t="e">
        <f>(M84+N84)*0.12*1.08*(AA84-AB84)</f>
        <v>#VALUE!</v>
      </c>
      <c r="AK84" s="92" t="e">
        <f t="shared" ref="AK84:AK88" si="261">(AC84+AD84+AE84+AF84)*0+AG84+AH84+AI84+AJ84</f>
        <v>#VALUE!</v>
      </c>
      <c r="AL84" s="92" t="e">
        <f t="shared" ref="AL84:AL88" si="262">AK84*1</f>
        <v>#VALUE!</v>
      </c>
      <c r="AM84" s="92">
        <f>K84*215</f>
        <v>0</v>
      </c>
      <c r="AN84" s="92" t="e">
        <f>(M84+N84)*0.68*0.12*(AA84-AB84)</f>
        <v>#VALUE!</v>
      </c>
      <c r="AO84" s="92" t="e">
        <f t="shared" ref="AO84:AO88" si="263">(AM84+AN84)*1</f>
        <v>#VALUE!</v>
      </c>
      <c r="AP84" s="92" t="e">
        <f t="shared" ref="AP84:AP88" si="264">AO84+AL84</f>
        <v>#VALUE!</v>
      </c>
      <c r="AQ84" s="92" t="e">
        <f>(M84+N84)*0.88*1.08*(AA84-AB84)</f>
        <v>#VALUE!</v>
      </c>
      <c r="AR84" s="92">
        <f>(M84+N84)*0.88*0.68*90</f>
        <v>158597.65080973439</v>
      </c>
      <c r="AS84" s="92" t="e">
        <f t="shared" ref="AS84:AS88" si="265">AL84+AO84+AQ84+AR84</f>
        <v>#VALUE!</v>
      </c>
      <c r="AT84" s="92" t="e">
        <f t="shared" ref="AT84:AT88" si="266">AS84/12000</f>
        <v>#VALUE!</v>
      </c>
      <c r="AU84" s="92">
        <v>49</v>
      </c>
      <c r="AV84" s="92" t="e">
        <f t="shared" ref="AV84:AV88" si="267">AL84/(1.08*(AA84-AU84))</f>
        <v>#VALUE!</v>
      </c>
      <c r="AW84" s="282">
        <v>5</v>
      </c>
      <c r="AX84" s="282">
        <f>CEILING(IF(AW84=5,P84*1/350,(IF(AWB84=20,P84*1/300,0))),2)</f>
        <v>6</v>
      </c>
      <c r="AY84" s="282">
        <f t="shared" ref="AY84" si="268">CEILING(IF(AW84=100000,P84*1/250,0),2)</f>
        <v>0</v>
      </c>
      <c r="AZ84" s="282">
        <f t="shared" ref="AZ84" si="269">CEILING(IF(AW84=10000,P84*1/225,(IF(AWB84=10000,P84*1/225,0))),2)</f>
        <v>0</v>
      </c>
      <c r="BA84" s="282">
        <f t="shared" ref="BA84" si="270">CEILING(IF(AW84=1000,P84*1/100,(IF(AWB84=100,P84*1/100,0))),2)</f>
        <v>0</v>
      </c>
      <c r="BB84" s="303">
        <f>CEILING(SUM(P84:P88)*1.1,50)</f>
        <v>3900</v>
      </c>
      <c r="BC84" s="303">
        <v>90</v>
      </c>
      <c r="BD84" s="303"/>
      <c r="BE84" s="303">
        <v>5</v>
      </c>
      <c r="BF84" s="303">
        <f>CEILING(N89*1.1, 25)</f>
        <v>3700</v>
      </c>
      <c r="BG84" s="303">
        <v>50</v>
      </c>
      <c r="BH84" s="303"/>
      <c r="BI84" s="303">
        <v>2</v>
      </c>
      <c r="BJ84" s="336">
        <f>BE84*(750/1000)+S84*0.8+BI84*(750/1000)</f>
        <v>5.25</v>
      </c>
      <c r="BK84" s="115"/>
    </row>
    <row r="85" spans="1:63" s="100" customFormat="1" ht="15.75" thickBot="1">
      <c r="A85" s="90">
        <v>38</v>
      </c>
      <c r="B85" s="300"/>
      <c r="C85" s="106" t="s">
        <v>138</v>
      </c>
      <c r="D85" s="91">
        <v>4.9379999999999997</v>
      </c>
      <c r="E85" s="94">
        <v>4.7169999999999996</v>
      </c>
      <c r="F85" s="91">
        <v>11.483000000000001</v>
      </c>
      <c r="G85" s="104">
        <f t="shared" si="259"/>
        <v>23.292545999999998</v>
      </c>
      <c r="H85" s="104">
        <f t="shared" ref="H85:H88" si="271">D85*E85*F85*10.76</f>
        <v>2877.95896952568</v>
      </c>
      <c r="I85" s="91">
        <v>15</v>
      </c>
      <c r="J85" s="92">
        <f t="shared" ref="J85:J88" si="272">H85*I85/60</f>
        <v>719.48974238142</v>
      </c>
      <c r="K85" s="91">
        <v>0</v>
      </c>
      <c r="L85" s="91">
        <v>0</v>
      </c>
      <c r="M85" s="92">
        <f t="shared" ref="M85:M88" si="273">J85*1</f>
        <v>719.48974238142</v>
      </c>
      <c r="N85" s="92">
        <f t="shared" ref="N85:N88" si="274">J85*1</f>
        <v>719.48974238142</v>
      </c>
      <c r="O85" s="93">
        <v>0</v>
      </c>
      <c r="P85" s="92">
        <f t="shared" si="260"/>
        <v>755.464229500491</v>
      </c>
      <c r="Q85" s="94">
        <v>0</v>
      </c>
      <c r="R85" s="94">
        <v>0</v>
      </c>
      <c r="S85" s="301"/>
      <c r="T85" s="297"/>
      <c r="U85" s="297"/>
      <c r="V85" s="297"/>
      <c r="W85" s="297"/>
      <c r="X85" s="297"/>
      <c r="Y85" s="91" t="s">
        <v>106</v>
      </c>
      <c r="Z85" s="91" t="s">
        <v>106</v>
      </c>
      <c r="AA85" s="91">
        <v>106</v>
      </c>
      <c r="AB85" s="91" t="s">
        <v>106</v>
      </c>
      <c r="AC85" s="92" t="e">
        <f>(D85+E85)*2*10.76*F85*0.4*(AA85-AB85)</f>
        <v>#VALUE!</v>
      </c>
      <c r="AD85" s="92" t="e">
        <f>(D85+E85)*2*10.76*F85*0.28*(AA85-AB85)</f>
        <v>#VALUE!</v>
      </c>
      <c r="AE85" s="92" t="e">
        <f>D85*E85*0.4*10.76*(AA85-AB85)</f>
        <v>#VALUE!</v>
      </c>
      <c r="AF85" s="92" t="e">
        <f>D85*E85*0.4*10.76*(AA85-AB85)</f>
        <v>#VALUE!</v>
      </c>
      <c r="AG85" s="92">
        <f>D85*E85*1.75*10.76</f>
        <v>438.59864117999996</v>
      </c>
      <c r="AH85" s="92" t="e">
        <f>L85*(3.5/2)*1.08*0.88*(AA85-AB85)*1000</f>
        <v>#VALUE!</v>
      </c>
      <c r="AI85" s="92">
        <f>K85*285</f>
        <v>0</v>
      </c>
      <c r="AJ85" s="92" t="e">
        <f>(M85+N85)*0.12*1.08*(AA85-AB85)</f>
        <v>#VALUE!</v>
      </c>
      <c r="AK85" s="92" t="e">
        <f t="shared" si="261"/>
        <v>#VALUE!</v>
      </c>
      <c r="AL85" s="92" t="e">
        <f t="shared" si="262"/>
        <v>#VALUE!</v>
      </c>
      <c r="AM85" s="92">
        <f>K85*215</f>
        <v>0</v>
      </c>
      <c r="AN85" s="92" t="e">
        <f>(M85+N85)*0.68*0.12*(AA85-AB85)</f>
        <v>#VALUE!</v>
      </c>
      <c r="AO85" s="92" t="e">
        <f t="shared" si="263"/>
        <v>#VALUE!</v>
      </c>
      <c r="AP85" s="92" t="e">
        <f t="shared" si="264"/>
        <v>#VALUE!</v>
      </c>
      <c r="AQ85" s="92" t="e">
        <f>(M85+N85)*0.88*1.08*(AA85-AB85)</f>
        <v>#VALUE!</v>
      </c>
      <c r="AR85" s="92">
        <f>(M85+N85)*0.88*0.68*90</f>
        <v>77497.679131387515</v>
      </c>
      <c r="AS85" s="92" t="e">
        <f t="shared" si="265"/>
        <v>#VALUE!</v>
      </c>
      <c r="AT85" s="92" t="e">
        <f t="shared" si="266"/>
        <v>#VALUE!</v>
      </c>
      <c r="AU85" s="92">
        <v>49</v>
      </c>
      <c r="AV85" s="92" t="e">
        <f t="shared" si="267"/>
        <v>#VALUE!</v>
      </c>
      <c r="AW85" s="282">
        <v>5</v>
      </c>
      <c r="AX85" s="282">
        <f t="shared" ref="AX85:AX88" si="275">CEILING(IF(AW85=5,P85*1/350,(IF(AWB85=20,P85*1/300,0))),2)</f>
        <v>4</v>
      </c>
      <c r="AY85" s="282">
        <f t="shared" ref="AY85:AY88" si="276">CEILING(IF(AW85=100000,P85*1/275,0),2)</f>
        <v>0</v>
      </c>
      <c r="AZ85" s="282">
        <f t="shared" ref="AZ85:AZ88" si="277">CEILING(IF(AW85=100000,P85*1/225,(IF(AWB85=10000,P85*1/225,0))),2)</f>
        <v>0</v>
      </c>
      <c r="BA85" s="282">
        <f t="shared" ref="BA85:BA88" si="278">CEILING(IF(AW85=1000,P85*1/100,(IF(AWB85=100,P85*1/100,0))),2)</f>
        <v>0</v>
      </c>
      <c r="BB85" s="303"/>
      <c r="BC85" s="303"/>
      <c r="BD85" s="303"/>
      <c r="BE85" s="303"/>
      <c r="BF85" s="303"/>
      <c r="BG85" s="303"/>
      <c r="BH85" s="303"/>
      <c r="BI85" s="303"/>
      <c r="BJ85" s="336"/>
      <c r="BK85" s="116"/>
    </row>
    <row r="86" spans="1:63" s="89" customFormat="1">
      <c r="A86" s="90">
        <v>39</v>
      </c>
      <c r="B86" s="300"/>
      <c r="C86" s="106" t="s">
        <v>138</v>
      </c>
      <c r="D86" s="91">
        <v>4.923</v>
      </c>
      <c r="E86" s="94">
        <v>4.7169999999999996</v>
      </c>
      <c r="F86" s="91">
        <v>11.483000000000001</v>
      </c>
      <c r="G86" s="104">
        <f t="shared" si="259"/>
        <v>23.221791</v>
      </c>
      <c r="H86" s="104">
        <f t="shared" si="271"/>
        <v>2869.2166883302798</v>
      </c>
      <c r="I86" s="91">
        <v>15</v>
      </c>
      <c r="J86" s="92">
        <f t="shared" si="272"/>
        <v>717.30417208256995</v>
      </c>
      <c r="K86" s="91">
        <v>0</v>
      </c>
      <c r="L86" s="91">
        <v>0</v>
      </c>
      <c r="M86" s="92">
        <f t="shared" si="273"/>
        <v>717.30417208256995</v>
      </c>
      <c r="N86" s="92">
        <f t="shared" si="274"/>
        <v>717.30417208256995</v>
      </c>
      <c r="O86" s="93">
        <v>0</v>
      </c>
      <c r="P86" s="92">
        <f t="shared" si="260"/>
        <v>753.16938068669845</v>
      </c>
      <c r="Q86" s="94">
        <v>0</v>
      </c>
      <c r="R86" s="94">
        <v>0</v>
      </c>
      <c r="S86" s="301"/>
      <c r="T86" s="297"/>
      <c r="U86" s="297"/>
      <c r="V86" s="297"/>
      <c r="W86" s="297"/>
      <c r="X86" s="297"/>
      <c r="Y86" s="91" t="s">
        <v>106</v>
      </c>
      <c r="Z86" s="91" t="s">
        <v>106</v>
      </c>
      <c r="AA86" s="91">
        <v>106</v>
      </c>
      <c r="AB86" s="91" t="s">
        <v>106</v>
      </c>
      <c r="AC86" s="92" t="e">
        <f>(D86+E86)*2*10.76*F86*0.4*(AA86-AB86)</f>
        <v>#VALUE!</v>
      </c>
      <c r="AD86" s="92" t="e">
        <f>(D86+E86)*2*10.76*F86*0.28*(AA86-AB86)</f>
        <v>#VALUE!</v>
      </c>
      <c r="AE86" s="92" t="e">
        <f>D86*E86*0.4*10.76*(AA86-AB86)</f>
        <v>#VALUE!</v>
      </c>
      <c r="AF86" s="92" t="e">
        <f>D86*E86*0.4*10.76*(AA86-AB86)</f>
        <v>#VALUE!</v>
      </c>
      <c r="AG86" s="92">
        <f>D86*E86*1.75*10.76</f>
        <v>437.26632453000002</v>
      </c>
      <c r="AH86" s="92" t="e">
        <f>L86*(3.5/2)*1.08*0.88*(AA86-AB86)*1000</f>
        <v>#VALUE!</v>
      </c>
      <c r="AI86" s="92">
        <f>K86*285</f>
        <v>0</v>
      </c>
      <c r="AJ86" s="92" t="e">
        <f>(M86+N86)*0.12*1.08*(AA86-AB86)</f>
        <v>#VALUE!</v>
      </c>
      <c r="AK86" s="92" t="e">
        <f t="shared" si="261"/>
        <v>#VALUE!</v>
      </c>
      <c r="AL86" s="92" t="e">
        <f t="shared" si="262"/>
        <v>#VALUE!</v>
      </c>
      <c r="AM86" s="92">
        <f>K86*215</f>
        <v>0</v>
      </c>
      <c r="AN86" s="92" t="e">
        <f>(M86+N86)*0.68*0.12*(AA86-AB86)</f>
        <v>#VALUE!</v>
      </c>
      <c r="AO86" s="92" t="e">
        <f t="shared" si="263"/>
        <v>#VALUE!</v>
      </c>
      <c r="AP86" s="92" t="e">
        <f t="shared" si="264"/>
        <v>#VALUE!</v>
      </c>
      <c r="AQ86" s="92" t="e">
        <f>(M86+N86)*0.88*1.08*(AA86-AB86)</f>
        <v>#VALUE!</v>
      </c>
      <c r="AR86" s="92">
        <f>(M86+N86)*0.88*0.68*90</f>
        <v>77262.266983357767</v>
      </c>
      <c r="AS86" s="92" t="e">
        <f t="shared" si="265"/>
        <v>#VALUE!</v>
      </c>
      <c r="AT86" s="92" t="e">
        <f t="shared" si="266"/>
        <v>#VALUE!</v>
      </c>
      <c r="AU86" s="92">
        <v>49</v>
      </c>
      <c r="AV86" s="92" t="e">
        <f t="shared" si="267"/>
        <v>#VALUE!</v>
      </c>
      <c r="AW86" s="282">
        <v>5</v>
      </c>
      <c r="AX86" s="282">
        <f t="shared" si="275"/>
        <v>4</v>
      </c>
      <c r="AY86" s="282">
        <f t="shared" si="276"/>
        <v>0</v>
      </c>
      <c r="AZ86" s="282">
        <f t="shared" si="277"/>
        <v>0</v>
      </c>
      <c r="BA86" s="282">
        <f t="shared" si="278"/>
        <v>0</v>
      </c>
      <c r="BB86" s="303"/>
      <c r="BC86" s="303"/>
      <c r="BD86" s="303"/>
      <c r="BE86" s="303"/>
      <c r="BF86" s="303"/>
      <c r="BG86" s="303"/>
      <c r="BH86" s="303"/>
      <c r="BI86" s="303"/>
      <c r="BJ86" s="336"/>
      <c r="BK86" s="114"/>
    </row>
    <row r="87" spans="1:63" s="95" customFormat="1">
      <c r="A87" s="90">
        <v>40</v>
      </c>
      <c r="B87" s="300"/>
      <c r="C87" s="106" t="s">
        <v>139</v>
      </c>
      <c r="D87" s="91">
        <v>4.2869999999999999</v>
      </c>
      <c r="E87" s="94">
        <v>2.0299999999999998</v>
      </c>
      <c r="F87" s="91">
        <v>9.843</v>
      </c>
      <c r="G87" s="104">
        <f t="shared" si="259"/>
        <v>8.7026099999999982</v>
      </c>
      <c r="H87" s="104">
        <f t="shared" si="271"/>
        <v>921.69934287479987</v>
      </c>
      <c r="I87" s="91">
        <v>15</v>
      </c>
      <c r="J87" s="92">
        <f t="shared" si="272"/>
        <v>230.42483571869997</v>
      </c>
      <c r="K87" s="91">
        <v>0</v>
      </c>
      <c r="L87" s="91">
        <v>0</v>
      </c>
      <c r="M87" s="92">
        <f t="shared" si="273"/>
        <v>230.42483571869997</v>
      </c>
      <c r="N87" s="92">
        <f t="shared" si="274"/>
        <v>230.42483571869997</v>
      </c>
      <c r="O87" s="93">
        <v>0</v>
      </c>
      <c r="P87" s="92">
        <f t="shared" si="260"/>
        <v>241.94607750463499</v>
      </c>
      <c r="Q87" s="94">
        <v>0</v>
      </c>
      <c r="R87" s="94">
        <v>0</v>
      </c>
      <c r="S87" s="301"/>
      <c r="T87" s="297"/>
      <c r="U87" s="297"/>
      <c r="V87" s="297"/>
      <c r="W87" s="297"/>
      <c r="X87" s="297"/>
      <c r="Y87" s="91" t="s">
        <v>106</v>
      </c>
      <c r="Z87" s="91" t="s">
        <v>106</v>
      </c>
      <c r="AA87" s="91">
        <v>106</v>
      </c>
      <c r="AB87" s="91" t="s">
        <v>106</v>
      </c>
      <c r="AC87" s="92" t="e">
        <f>(D87+E87)*2*10.76*F87*0.4*(AA87-AB87)</f>
        <v>#VALUE!</v>
      </c>
      <c r="AD87" s="92" t="e">
        <f>(D87+E87)*2*10.76*F87*0.28*(AA87-AB87)</f>
        <v>#VALUE!</v>
      </c>
      <c r="AE87" s="92" t="e">
        <f>D87*E87*0.4*10.76*(AA87-AB87)</f>
        <v>#VALUE!</v>
      </c>
      <c r="AF87" s="92" t="e">
        <f>D87*E87*0.4*10.76*(AA87-AB87)</f>
        <v>#VALUE!</v>
      </c>
      <c r="AG87" s="92">
        <f>D87*E87*1.75*10.76</f>
        <v>163.87014629999996</v>
      </c>
      <c r="AH87" s="92" t="e">
        <f>L87*(3.5/2)*1.08*0.88*(AA87-AB87)*1000</f>
        <v>#VALUE!</v>
      </c>
      <c r="AI87" s="92">
        <f>K87*285</f>
        <v>0</v>
      </c>
      <c r="AJ87" s="92" t="e">
        <f>(M87+N87)*0.12*1.08*(AA87-AB87)</f>
        <v>#VALUE!</v>
      </c>
      <c r="AK87" s="92" t="e">
        <f t="shared" si="261"/>
        <v>#VALUE!</v>
      </c>
      <c r="AL87" s="92" t="e">
        <f t="shared" si="262"/>
        <v>#VALUE!</v>
      </c>
      <c r="AM87" s="92">
        <f>K87*215</f>
        <v>0</v>
      </c>
      <c r="AN87" s="92" t="e">
        <f>(M87+N87)*0.68*0.12*(AA87-AB87)</f>
        <v>#VALUE!</v>
      </c>
      <c r="AO87" s="92" t="e">
        <f t="shared" si="263"/>
        <v>#VALUE!</v>
      </c>
      <c r="AP87" s="92" t="e">
        <f t="shared" si="264"/>
        <v>#VALUE!</v>
      </c>
      <c r="AQ87" s="92" t="e">
        <f>(M87+N87)*0.88*1.08*(AA87-AB87)</f>
        <v>#VALUE!</v>
      </c>
      <c r="AR87" s="92">
        <f>(M87+N87)*0.88*0.68*90</f>
        <v>24819.519904932611</v>
      </c>
      <c r="AS87" s="92" t="e">
        <f t="shared" si="265"/>
        <v>#VALUE!</v>
      </c>
      <c r="AT87" s="92" t="e">
        <f t="shared" si="266"/>
        <v>#VALUE!</v>
      </c>
      <c r="AU87" s="92">
        <v>49</v>
      </c>
      <c r="AV87" s="92" t="e">
        <f t="shared" si="267"/>
        <v>#VALUE!</v>
      </c>
      <c r="AW87" s="282">
        <v>5</v>
      </c>
      <c r="AX87" s="282">
        <f t="shared" si="275"/>
        <v>2</v>
      </c>
      <c r="AY87" s="282">
        <f t="shared" si="276"/>
        <v>0</v>
      </c>
      <c r="AZ87" s="282">
        <f t="shared" si="277"/>
        <v>0</v>
      </c>
      <c r="BA87" s="282">
        <f t="shared" si="278"/>
        <v>0</v>
      </c>
      <c r="BB87" s="303"/>
      <c r="BC87" s="303"/>
      <c r="BD87" s="303"/>
      <c r="BE87" s="303"/>
      <c r="BF87" s="303"/>
      <c r="BG87" s="303"/>
      <c r="BH87" s="303"/>
      <c r="BI87" s="303"/>
      <c r="BJ87" s="336"/>
      <c r="BK87" s="115"/>
    </row>
    <row r="88" spans="1:63" s="100" customFormat="1" ht="15.75" thickBot="1">
      <c r="A88" s="90">
        <v>41</v>
      </c>
      <c r="B88" s="300"/>
      <c r="C88" s="106" t="s">
        <v>139</v>
      </c>
      <c r="D88" s="91">
        <v>4.0999999999999996</v>
      </c>
      <c r="E88" s="94">
        <v>2.0299999999999998</v>
      </c>
      <c r="F88" s="91">
        <v>9.843</v>
      </c>
      <c r="G88" s="104">
        <f t="shared" si="259"/>
        <v>8.3229999999999986</v>
      </c>
      <c r="H88" s="104">
        <f t="shared" si="271"/>
        <v>881.49458963999984</v>
      </c>
      <c r="I88" s="91">
        <v>15</v>
      </c>
      <c r="J88" s="92">
        <f t="shared" si="272"/>
        <v>220.37364740999996</v>
      </c>
      <c r="K88" s="91">
        <v>0</v>
      </c>
      <c r="L88" s="91">
        <v>0</v>
      </c>
      <c r="M88" s="92">
        <f t="shared" si="273"/>
        <v>220.37364740999996</v>
      </c>
      <c r="N88" s="92">
        <f t="shared" si="274"/>
        <v>220.37364740999996</v>
      </c>
      <c r="O88" s="93">
        <v>0</v>
      </c>
      <c r="P88" s="92">
        <f t="shared" si="260"/>
        <v>231.39232978049998</v>
      </c>
      <c r="Q88" s="94">
        <v>0</v>
      </c>
      <c r="R88" s="94">
        <v>0</v>
      </c>
      <c r="S88" s="301"/>
      <c r="T88" s="298"/>
      <c r="U88" s="298"/>
      <c r="V88" s="298"/>
      <c r="W88" s="298"/>
      <c r="X88" s="298"/>
      <c r="Y88" s="91" t="s">
        <v>106</v>
      </c>
      <c r="Z88" s="91" t="s">
        <v>106</v>
      </c>
      <c r="AA88" s="91">
        <v>106</v>
      </c>
      <c r="AB88" s="91" t="s">
        <v>106</v>
      </c>
      <c r="AC88" s="92" t="e">
        <f>(D88+E88)*2*10.76*F88*0.4*(AA88-AB88)</f>
        <v>#VALUE!</v>
      </c>
      <c r="AD88" s="92" t="e">
        <f>(D88+E88)*2*10.76*F88*0.28*(AA88-AB88)</f>
        <v>#VALUE!</v>
      </c>
      <c r="AE88" s="92" t="e">
        <f>D88*E88*0.4*10.76*(AA88-AB88)</f>
        <v>#VALUE!</v>
      </c>
      <c r="AF88" s="92" t="e">
        <f>D88*E88*0.4*10.76*(AA88-AB88)</f>
        <v>#VALUE!</v>
      </c>
      <c r="AG88" s="92">
        <f>D88*E88*1.75*10.76</f>
        <v>156.72208999999998</v>
      </c>
      <c r="AH88" s="92" t="e">
        <f>L88*(3.5/2)*1.08*0.88*(AA88-AB88)*1000</f>
        <v>#VALUE!</v>
      </c>
      <c r="AI88" s="92">
        <f>K88*285</f>
        <v>0</v>
      </c>
      <c r="AJ88" s="92" t="e">
        <f>(M88+N88)*0.12*1.08*(AA88-AB88)</f>
        <v>#VALUE!</v>
      </c>
      <c r="AK88" s="92" t="e">
        <f t="shared" si="261"/>
        <v>#VALUE!</v>
      </c>
      <c r="AL88" s="92" t="e">
        <f t="shared" si="262"/>
        <v>#VALUE!</v>
      </c>
      <c r="AM88" s="92">
        <f>K88*215</f>
        <v>0</v>
      </c>
      <c r="AN88" s="92" t="e">
        <f>(M88+N88)*0.68*0.12*(AA88-AB88)</f>
        <v>#VALUE!</v>
      </c>
      <c r="AO88" s="92" t="e">
        <f t="shared" si="263"/>
        <v>#VALUE!</v>
      </c>
      <c r="AP88" s="92" t="e">
        <f t="shared" si="264"/>
        <v>#VALUE!</v>
      </c>
      <c r="AQ88" s="92" t="e">
        <f>(M88+N88)*0.88*1.08*(AA88-AB88)</f>
        <v>#VALUE!</v>
      </c>
      <c r="AR88" s="92">
        <f>(M88+N88)*0.88*0.68*90</f>
        <v>23736.886309825917</v>
      </c>
      <c r="AS88" s="92" t="e">
        <f t="shared" si="265"/>
        <v>#VALUE!</v>
      </c>
      <c r="AT88" s="92" t="e">
        <f t="shared" si="266"/>
        <v>#VALUE!</v>
      </c>
      <c r="AU88" s="92">
        <v>49</v>
      </c>
      <c r="AV88" s="92" t="e">
        <f t="shared" si="267"/>
        <v>#VALUE!</v>
      </c>
      <c r="AW88" s="282">
        <v>5</v>
      </c>
      <c r="AX88" s="282">
        <f t="shared" si="275"/>
        <v>2</v>
      </c>
      <c r="AY88" s="282">
        <f t="shared" si="276"/>
        <v>0</v>
      </c>
      <c r="AZ88" s="282">
        <f t="shared" si="277"/>
        <v>0</v>
      </c>
      <c r="BA88" s="282">
        <f t="shared" si="278"/>
        <v>0</v>
      </c>
      <c r="BB88" s="303"/>
      <c r="BC88" s="303"/>
      <c r="BD88" s="303"/>
      <c r="BE88" s="303"/>
      <c r="BF88" s="303"/>
      <c r="BG88" s="303"/>
      <c r="BH88" s="303"/>
      <c r="BI88" s="303"/>
      <c r="BJ88" s="336"/>
      <c r="BK88" s="116"/>
    </row>
    <row r="89" spans="1:63" s="101" customFormat="1" ht="17.25" customHeight="1" thickBot="1">
      <c r="A89" s="96"/>
      <c r="B89" s="97"/>
      <c r="C89" s="139"/>
      <c r="D89" s="97"/>
      <c r="E89" s="99"/>
      <c r="F89" s="97"/>
      <c r="G89" s="173">
        <f>SUM(G84:G88)</f>
        <v>119.14994699999998</v>
      </c>
      <c r="H89" s="173">
        <f>SUM(H84:H88)</f>
        <v>13440.062505170759</v>
      </c>
      <c r="I89" s="177"/>
      <c r="J89" s="175">
        <f t="shared" ref="J89:R89" si="279">SUM(J84:J88)</f>
        <v>3360.0156262926898</v>
      </c>
      <c r="K89" s="174">
        <f t="shared" si="279"/>
        <v>0</v>
      </c>
      <c r="L89" s="174">
        <f t="shared" si="279"/>
        <v>0</v>
      </c>
      <c r="M89" s="175">
        <f t="shared" si="279"/>
        <v>3360.0156262926898</v>
      </c>
      <c r="N89" s="175">
        <f t="shared" si="279"/>
        <v>3360.0156262926898</v>
      </c>
      <c r="O89" s="175">
        <f t="shared" si="279"/>
        <v>0</v>
      </c>
      <c r="P89" s="175">
        <f t="shared" si="279"/>
        <v>3528.0164076073243</v>
      </c>
      <c r="Q89" s="176">
        <f t="shared" si="279"/>
        <v>0</v>
      </c>
      <c r="R89" s="176">
        <f t="shared" si="279"/>
        <v>0</v>
      </c>
      <c r="S89" s="163"/>
      <c r="T89" s="163"/>
      <c r="U89" s="163"/>
      <c r="V89" s="163"/>
      <c r="W89" s="163"/>
      <c r="X89" s="163"/>
      <c r="Y89" s="97"/>
      <c r="Z89" s="97"/>
      <c r="AA89" s="97"/>
      <c r="AB89" s="97"/>
      <c r="AC89" s="98"/>
      <c r="AD89" s="98"/>
      <c r="AE89" s="98"/>
      <c r="AF89" s="98"/>
      <c r="AG89" s="98"/>
      <c r="AH89" s="98"/>
      <c r="AI89" s="98"/>
      <c r="AJ89" s="98"/>
      <c r="AK89" s="98"/>
      <c r="AL89" s="98"/>
      <c r="AM89" s="98"/>
      <c r="AN89" s="98"/>
      <c r="AO89" s="98"/>
      <c r="AP89" s="98"/>
      <c r="AQ89" s="98"/>
      <c r="AR89" s="98"/>
      <c r="AS89" s="98"/>
      <c r="AT89" s="98"/>
      <c r="AU89" s="98"/>
      <c r="AV89" s="98"/>
      <c r="AW89" s="283"/>
      <c r="AX89" s="283"/>
      <c r="AY89" s="283"/>
      <c r="AZ89" s="283"/>
      <c r="BA89" s="283"/>
      <c r="BB89" s="167"/>
      <c r="BC89" s="122"/>
      <c r="BJ89" s="254"/>
      <c r="BK89" s="122"/>
    </row>
    <row r="90" spans="1:63" s="206" customFormat="1" ht="23.25">
      <c r="A90" s="183"/>
      <c r="B90" s="184">
        <v>12</v>
      </c>
      <c r="C90" s="185" t="s">
        <v>136</v>
      </c>
      <c r="D90" s="186"/>
      <c r="E90" s="187"/>
      <c r="F90" s="186"/>
      <c r="G90" s="188"/>
      <c r="H90" s="188"/>
      <c r="I90" s="186"/>
      <c r="J90" s="198"/>
      <c r="K90" s="199"/>
      <c r="L90" s="199"/>
      <c r="M90" s="198"/>
      <c r="N90" s="198"/>
      <c r="O90" s="200"/>
      <c r="P90" s="198"/>
      <c r="Q90" s="201"/>
      <c r="R90" s="201"/>
      <c r="S90" s="196"/>
      <c r="T90" s="196"/>
      <c r="U90" s="196"/>
      <c r="V90" s="196"/>
      <c r="W90" s="196"/>
      <c r="X90" s="196"/>
      <c r="Y90" s="186"/>
      <c r="Z90" s="186"/>
      <c r="AA90" s="186"/>
      <c r="AB90" s="186"/>
      <c r="AC90" s="189"/>
      <c r="AD90" s="189"/>
      <c r="AE90" s="189"/>
      <c r="AF90" s="189"/>
      <c r="AG90" s="189"/>
      <c r="AH90" s="189"/>
      <c r="AI90" s="189"/>
      <c r="AJ90" s="189"/>
      <c r="AK90" s="189"/>
      <c r="AL90" s="189"/>
      <c r="AM90" s="189"/>
      <c r="AN90" s="189"/>
      <c r="AO90" s="189"/>
      <c r="AP90" s="189"/>
      <c r="AQ90" s="189"/>
      <c r="AR90" s="189"/>
      <c r="AS90" s="189"/>
      <c r="AT90" s="189"/>
      <c r="AU90" s="189"/>
      <c r="AV90" s="189"/>
      <c r="AW90" s="281"/>
      <c r="AX90" s="281"/>
      <c r="AY90" s="281"/>
      <c r="AZ90" s="281"/>
      <c r="BA90" s="281"/>
      <c r="BB90" s="197"/>
      <c r="BC90" s="205"/>
      <c r="BJ90" s="257"/>
      <c r="BK90" s="205"/>
    </row>
    <row r="91" spans="1:63" s="95" customFormat="1">
      <c r="A91" s="90">
        <v>42</v>
      </c>
      <c r="B91" s="300" t="s">
        <v>140</v>
      </c>
      <c r="C91" s="106" t="s">
        <v>133</v>
      </c>
      <c r="D91" s="91">
        <v>15.131</v>
      </c>
      <c r="E91" s="94">
        <v>2</v>
      </c>
      <c r="F91" s="91">
        <v>7.8739999999999997</v>
      </c>
      <c r="G91" s="104">
        <f t="shared" ref="G91:G98" si="280">D91*E91</f>
        <v>30.262</v>
      </c>
      <c r="H91" s="104">
        <f>D91*E91*F91*10.76</f>
        <v>2563.9249508799999</v>
      </c>
      <c r="I91" s="91">
        <v>15</v>
      </c>
      <c r="J91" s="92">
        <f>H91*I91/60</f>
        <v>640.98123771999997</v>
      </c>
      <c r="K91" s="91">
        <v>0</v>
      </c>
      <c r="L91" s="91">
        <v>0</v>
      </c>
      <c r="M91" s="92">
        <f>J91*1</f>
        <v>640.98123771999997</v>
      </c>
      <c r="N91" s="92">
        <f>J91*1</f>
        <v>640.98123771999997</v>
      </c>
      <c r="O91" s="93">
        <v>0</v>
      </c>
      <c r="P91" s="92">
        <f t="shared" ref="P91:P98" si="281">MAX(J91,O91)*1.05</f>
        <v>673.03029960599997</v>
      </c>
      <c r="Q91" s="94">
        <v>0</v>
      </c>
      <c r="R91" s="94">
        <v>0</v>
      </c>
      <c r="S91" s="301">
        <f>CEILING(MAX(SUM(Q91:Q98),SUM(R91:R98)),0.5)</f>
        <v>0</v>
      </c>
      <c r="T91" s="304">
        <f>S91*2.4</f>
        <v>0</v>
      </c>
      <c r="U91" s="304">
        <f>T91*0.0630902</f>
        <v>0</v>
      </c>
      <c r="V91" s="304">
        <f>0.26*SQRT(T91)</f>
        <v>0</v>
      </c>
      <c r="W91" s="304">
        <f>CEILING(V91,0.5)</f>
        <v>0</v>
      </c>
      <c r="X91" s="304" t="s">
        <v>106</v>
      </c>
      <c r="Y91" s="91" t="s">
        <v>106</v>
      </c>
      <c r="Z91" s="91" t="s">
        <v>106</v>
      </c>
      <c r="AA91" s="91">
        <v>106</v>
      </c>
      <c r="AB91" s="91" t="s">
        <v>106</v>
      </c>
      <c r="AC91" s="92" t="e">
        <f t="shared" ref="AC91:AC98" si="282">(D91+E91)*2*10.76*F91*0.4*(AA91-AB91)</f>
        <v>#VALUE!</v>
      </c>
      <c r="AD91" s="92" t="e">
        <f t="shared" ref="AD91:AD98" si="283">(D91+E91)*2*10.76*F91*0.28*(AA91-AB91)</f>
        <v>#VALUE!</v>
      </c>
      <c r="AE91" s="92" t="e">
        <f t="shared" ref="AE91:AE98" si="284">D91*E91*0.4*10.76*(AA91-AB91)</f>
        <v>#VALUE!</v>
      </c>
      <c r="AF91" s="92" t="e">
        <f t="shared" ref="AF91:AF98" si="285">D91*E91*0.4*10.76*(AA91-AB91)</f>
        <v>#VALUE!</v>
      </c>
      <c r="AG91" s="92">
        <f t="shared" ref="AG91:AG98" si="286">D91*E91*1.75*10.76</f>
        <v>569.83345999999995</v>
      </c>
      <c r="AH91" s="92" t="e">
        <f t="shared" ref="AH91:AH98" si="287">L91*(3.5/2)*1.08*0.88*(AA91-AB91)*1000</f>
        <v>#VALUE!</v>
      </c>
      <c r="AI91" s="92">
        <f t="shared" ref="AI91:AI98" si="288">K91*285</f>
        <v>0</v>
      </c>
      <c r="AJ91" s="92" t="e">
        <f t="shared" ref="AJ91:AJ98" si="289">(M91+N91)*0.12*1.08*(AA91-AB91)</f>
        <v>#VALUE!</v>
      </c>
      <c r="AK91" s="92" t="e">
        <f t="shared" ref="AK91:AK98" si="290">(AC91+AD91+AE91+AF91)*0+AG91+AH91+AI91+AJ91</f>
        <v>#VALUE!</v>
      </c>
      <c r="AL91" s="92" t="e">
        <f t="shared" ref="AL91:AL98" si="291">AK91*1</f>
        <v>#VALUE!</v>
      </c>
      <c r="AM91" s="92">
        <f t="shared" ref="AM91:AM98" si="292">K91*215</f>
        <v>0</v>
      </c>
      <c r="AN91" s="92" t="e">
        <f t="shared" ref="AN91:AN98" si="293">(M91+N91)*0.68*0.12*(AA91-AB91)</f>
        <v>#VALUE!</v>
      </c>
      <c r="AO91" s="92" t="e">
        <f t="shared" ref="AO91:AO98" si="294">(AM91+AN91)*1</f>
        <v>#VALUE!</v>
      </c>
      <c r="AP91" s="92" t="e">
        <f t="shared" ref="AP91:AP98" si="295">AO91+AL91</f>
        <v>#VALUE!</v>
      </c>
      <c r="AQ91" s="92" t="e">
        <f t="shared" ref="AQ91:AQ98" si="296">(M91+N91)*0.88*1.08*(AA91-AB91)</f>
        <v>#VALUE!</v>
      </c>
      <c r="AR91" s="92">
        <f t="shared" ref="AR91:AR98" si="297">(M91+N91)*0.88*0.68*90</f>
        <v>69041.37107729663</v>
      </c>
      <c r="AS91" s="92" t="e">
        <f t="shared" ref="AS91:AS98" si="298">AL91+AO91+AQ91+AR91</f>
        <v>#VALUE!</v>
      </c>
      <c r="AT91" s="92" t="e">
        <f t="shared" ref="AT91:AT98" si="299">AS91/12000</f>
        <v>#VALUE!</v>
      </c>
      <c r="AU91" s="92">
        <v>49</v>
      </c>
      <c r="AV91" s="92" t="e">
        <f t="shared" ref="AV91:AV98" si="300">AL91/(1.08*(AA91-AU91))</f>
        <v>#VALUE!</v>
      </c>
      <c r="AW91" s="282">
        <v>5</v>
      </c>
      <c r="AX91" s="282">
        <f>CEILING(IF(AW91=5,P91*1/350,(IF(AWB91=20,P91*1/300,0))),2)</f>
        <v>2</v>
      </c>
      <c r="AY91" s="282">
        <f t="shared" ref="AY91" si="301">CEILING(IF(AW91=100000,P91*1/250,0),2)</f>
        <v>0</v>
      </c>
      <c r="AZ91" s="282">
        <f t="shared" ref="AZ91" si="302">CEILING(IF(AW91=10000,P91*1/225,(IF(AWB91=10000,P91*1/225,0))),2)</f>
        <v>0</v>
      </c>
      <c r="BA91" s="282">
        <f t="shared" ref="BA91" si="303">CEILING(IF(AW91=1000,P91*1/100,(IF(AWB91=100,P91*1/100,0))),2)</f>
        <v>0</v>
      </c>
      <c r="BB91" s="303">
        <f>CEILING(SUM(P91:P98)*1.1,50)</f>
        <v>4450</v>
      </c>
      <c r="BC91" s="303">
        <v>90</v>
      </c>
      <c r="BD91" s="303"/>
      <c r="BE91" s="303">
        <v>5</v>
      </c>
      <c r="BF91" s="303">
        <f>CEILING(N99*1.1, 25)</f>
        <v>4200</v>
      </c>
      <c r="BG91" s="303">
        <v>50</v>
      </c>
      <c r="BH91" s="303"/>
      <c r="BI91" s="303">
        <v>3</v>
      </c>
      <c r="BJ91" s="336">
        <f>BE91*(750/1000)+S91*0.8+BI91*(750/1000)</f>
        <v>6</v>
      </c>
      <c r="BK91" s="115"/>
    </row>
    <row r="92" spans="1:63" s="100" customFormat="1" ht="15.75" thickBot="1">
      <c r="A92" s="90">
        <v>43</v>
      </c>
      <c r="B92" s="300"/>
      <c r="C92" s="106" t="s">
        <v>141</v>
      </c>
      <c r="D92" s="91">
        <v>7.6340000000000003</v>
      </c>
      <c r="E92" s="94">
        <v>7.4560000000000004</v>
      </c>
      <c r="F92" s="91">
        <v>7.8739999999999997</v>
      </c>
      <c r="G92" s="104">
        <f t="shared" si="280"/>
        <v>56.919104000000004</v>
      </c>
      <c r="H92" s="104">
        <f t="shared" ref="H92:H98" si="304">D92*E92*F92*10.76</f>
        <v>4822.4278278809597</v>
      </c>
      <c r="I92" s="91">
        <v>15</v>
      </c>
      <c r="J92" s="92">
        <f t="shared" ref="J92:J98" si="305">H92*I92/60</f>
        <v>1205.6069569702399</v>
      </c>
      <c r="K92" s="91">
        <v>0</v>
      </c>
      <c r="L92" s="91">
        <v>0</v>
      </c>
      <c r="M92" s="92">
        <f t="shared" ref="M92:M98" si="306">J92*1</f>
        <v>1205.6069569702399</v>
      </c>
      <c r="N92" s="92">
        <f t="shared" ref="N92:N98" si="307">J92*1</f>
        <v>1205.6069569702399</v>
      </c>
      <c r="O92" s="93">
        <v>0</v>
      </c>
      <c r="P92" s="92">
        <f t="shared" si="281"/>
        <v>1265.887304818752</v>
      </c>
      <c r="Q92" s="94">
        <v>0</v>
      </c>
      <c r="R92" s="94">
        <v>0</v>
      </c>
      <c r="S92" s="301"/>
      <c r="T92" s="297"/>
      <c r="U92" s="297"/>
      <c r="V92" s="297"/>
      <c r="W92" s="297"/>
      <c r="X92" s="297"/>
      <c r="Y92" s="91" t="s">
        <v>106</v>
      </c>
      <c r="Z92" s="91" t="s">
        <v>106</v>
      </c>
      <c r="AA92" s="91">
        <v>106</v>
      </c>
      <c r="AB92" s="91" t="s">
        <v>106</v>
      </c>
      <c r="AC92" s="92" t="e">
        <f t="shared" si="282"/>
        <v>#VALUE!</v>
      </c>
      <c r="AD92" s="92" t="e">
        <f t="shared" si="283"/>
        <v>#VALUE!</v>
      </c>
      <c r="AE92" s="92" t="e">
        <f t="shared" si="284"/>
        <v>#VALUE!</v>
      </c>
      <c r="AF92" s="92" t="e">
        <f t="shared" si="285"/>
        <v>#VALUE!</v>
      </c>
      <c r="AG92" s="92">
        <f t="shared" si="286"/>
        <v>1071.7867283200001</v>
      </c>
      <c r="AH92" s="92" t="e">
        <f t="shared" si="287"/>
        <v>#VALUE!</v>
      </c>
      <c r="AI92" s="92">
        <f t="shared" si="288"/>
        <v>0</v>
      </c>
      <c r="AJ92" s="92" t="e">
        <f t="shared" si="289"/>
        <v>#VALUE!</v>
      </c>
      <c r="AK92" s="92" t="e">
        <f t="shared" si="290"/>
        <v>#VALUE!</v>
      </c>
      <c r="AL92" s="92" t="e">
        <f t="shared" si="291"/>
        <v>#VALUE!</v>
      </c>
      <c r="AM92" s="92">
        <f t="shared" si="292"/>
        <v>0</v>
      </c>
      <c r="AN92" s="92" t="e">
        <f t="shared" si="293"/>
        <v>#VALUE!</v>
      </c>
      <c r="AO92" s="92" t="e">
        <f t="shared" si="294"/>
        <v>#VALUE!</v>
      </c>
      <c r="AP92" s="92" t="e">
        <f t="shared" si="295"/>
        <v>#VALUE!</v>
      </c>
      <c r="AQ92" s="92" t="e">
        <f t="shared" si="296"/>
        <v>#VALUE!</v>
      </c>
      <c r="AR92" s="92">
        <f t="shared" si="297"/>
        <v>129858.33654917849</v>
      </c>
      <c r="AS92" s="92" t="e">
        <f t="shared" si="298"/>
        <v>#VALUE!</v>
      </c>
      <c r="AT92" s="92" t="e">
        <f t="shared" si="299"/>
        <v>#VALUE!</v>
      </c>
      <c r="AU92" s="92">
        <v>49</v>
      </c>
      <c r="AV92" s="92" t="e">
        <f t="shared" si="300"/>
        <v>#VALUE!</v>
      </c>
      <c r="AW92" s="282">
        <v>5</v>
      </c>
      <c r="AX92" s="282">
        <f t="shared" ref="AX92:AX98" si="308">CEILING(IF(AW92=5,P92*1/350,(IF(AWB92=20,P92*1/300,0))),2)</f>
        <v>4</v>
      </c>
      <c r="AY92" s="282">
        <f t="shared" ref="AY92:AY98" si="309">CEILING(IF(AW92=100000,P92*1/275,0),2)</f>
        <v>0</v>
      </c>
      <c r="AZ92" s="282">
        <f t="shared" ref="AZ92:AZ98" si="310">CEILING(IF(AW92=100000,P92*1/225,(IF(AWB92=10000,P92*1/225,0))),2)</f>
        <v>0</v>
      </c>
      <c r="BA92" s="282">
        <f t="shared" ref="BA92:BA98" si="311">CEILING(IF(AW92=1000,P92*1/100,(IF(AWB92=100,P92*1/100,0))),2)</f>
        <v>0</v>
      </c>
      <c r="BB92" s="303"/>
      <c r="BC92" s="303"/>
      <c r="BD92" s="303"/>
      <c r="BE92" s="303"/>
      <c r="BF92" s="303"/>
      <c r="BG92" s="303"/>
      <c r="BH92" s="303"/>
      <c r="BI92" s="303"/>
      <c r="BJ92" s="336"/>
      <c r="BK92" s="116"/>
    </row>
    <row r="93" spans="1:63" s="89" customFormat="1">
      <c r="A93" s="90">
        <v>44</v>
      </c>
      <c r="B93" s="300"/>
      <c r="C93" s="106" t="s">
        <v>142</v>
      </c>
      <c r="D93" s="91">
        <v>7.71</v>
      </c>
      <c r="E93" s="94">
        <v>7.46</v>
      </c>
      <c r="F93" s="91">
        <v>7.8739999999999997</v>
      </c>
      <c r="G93" s="104">
        <f t="shared" si="280"/>
        <v>57.516599999999997</v>
      </c>
      <c r="H93" s="104">
        <f t="shared" si="304"/>
        <v>4873.0502223839994</v>
      </c>
      <c r="I93" s="91">
        <v>15</v>
      </c>
      <c r="J93" s="92">
        <f t="shared" si="305"/>
        <v>1218.2625555959999</v>
      </c>
      <c r="K93" s="91">
        <v>0</v>
      </c>
      <c r="L93" s="91">
        <v>0</v>
      </c>
      <c r="M93" s="92">
        <f t="shared" si="306"/>
        <v>1218.2625555959999</v>
      </c>
      <c r="N93" s="92">
        <f t="shared" si="307"/>
        <v>1218.2625555959999</v>
      </c>
      <c r="O93" s="93">
        <v>0</v>
      </c>
      <c r="P93" s="92">
        <f t="shared" si="281"/>
        <v>1279.1756833758</v>
      </c>
      <c r="Q93" s="94">
        <v>0</v>
      </c>
      <c r="R93" s="94">
        <v>0</v>
      </c>
      <c r="S93" s="301"/>
      <c r="T93" s="297"/>
      <c r="U93" s="297"/>
      <c r="V93" s="297"/>
      <c r="W93" s="297"/>
      <c r="X93" s="297"/>
      <c r="Y93" s="91" t="s">
        <v>106</v>
      </c>
      <c r="Z93" s="91" t="s">
        <v>106</v>
      </c>
      <c r="AA93" s="91">
        <v>106</v>
      </c>
      <c r="AB93" s="91" t="s">
        <v>106</v>
      </c>
      <c r="AC93" s="92" t="e">
        <f t="shared" si="282"/>
        <v>#VALUE!</v>
      </c>
      <c r="AD93" s="92" t="e">
        <f t="shared" si="283"/>
        <v>#VALUE!</v>
      </c>
      <c r="AE93" s="92" t="e">
        <f t="shared" si="284"/>
        <v>#VALUE!</v>
      </c>
      <c r="AF93" s="92" t="e">
        <f t="shared" si="285"/>
        <v>#VALUE!</v>
      </c>
      <c r="AG93" s="92">
        <f t="shared" si="286"/>
        <v>1083.0375779999999</v>
      </c>
      <c r="AH93" s="92" t="e">
        <f t="shared" si="287"/>
        <v>#VALUE!</v>
      </c>
      <c r="AI93" s="92">
        <f t="shared" si="288"/>
        <v>0</v>
      </c>
      <c r="AJ93" s="92" t="e">
        <f t="shared" si="289"/>
        <v>#VALUE!</v>
      </c>
      <c r="AK93" s="92" t="e">
        <f t="shared" si="290"/>
        <v>#VALUE!</v>
      </c>
      <c r="AL93" s="92" t="e">
        <f t="shared" si="291"/>
        <v>#VALUE!</v>
      </c>
      <c r="AM93" s="92">
        <f t="shared" si="292"/>
        <v>0</v>
      </c>
      <c r="AN93" s="92" t="e">
        <f t="shared" si="293"/>
        <v>#VALUE!</v>
      </c>
      <c r="AO93" s="92" t="e">
        <f t="shared" si="294"/>
        <v>#VALUE!</v>
      </c>
      <c r="AP93" s="92" t="e">
        <f t="shared" si="295"/>
        <v>#VALUE!</v>
      </c>
      <c r="AQ93" s="92" t="e">
        <f t="shared" si="296"/>
        <v>#VALUE!</v>
      </c>
      <c r="AR93" s="92">
        <f t="shared" si="297"/>
        <v>131221.49638835635</v>
      </c>
      <c r="AS93" s="92" t="e">
        <f t="shared" si="298"/>
        <v>#VALUE!</v>
      </c>
      <c r="AT93" s="92" t="e">
        <f t="shared" si="299"/>
        <v>#VALUE!</v>
      </c>
      <c r="AU93" s="92">
        <v>49</v>
      </c>
      <c r="AV93" s="92" t="e">
        <f t="shared" si="300"/>
        <v>#VALUE!</v>
      </c>
      <c r="AW93" s="282">
        <v>5</v>
      </c>
      <c r="AX93" s="282">
        <f t="shared" si="308"/>
        <v>4</v>
      </c>
      <c r="AY93" s="282">
        <f t="shared" si="309"/>
        <v>0</v>
      </c>
      <c r="AZ93" s="282">
        <f t="shared" si="310"/>
        <v>0</v>
      </c>
      <c r="BA93" s="282">
        <f t="shared" si="311"/>
        <v>0</v>
      </c>
      <c r="BB93" s="303"/>
      <c r="BC93" s="303"/>
      <c r="BD93" s="303"/>
      <c r="BE93" s="303"/>
      <c r="BF93" s="303"/>
      <c r="BG93" s="303"/>
      <c r="BH93" s="303"/>
      <c r="BI93" s="303"/>
      <c r="BJ93" s="336"/>
      <c r="BK93" s="114"/>
    </row>
    <row r="94" spans="1:63" s="95" customFormat="1">
      <c r="A94" s="90">
        <v>44</v>
      </c>
      <c r="B94" s="300"/>
      <c r="C94" s="106" t="s">
        <v>142</v>
      </c>
      <c r="D94" s="91">
        <v>0.93</v>
      </c>
      <c r="E94" s="94">
        <v>2.4369999999999998</v>
      </c>
      <c r="F94" s="91">
        <v>7.8739999999999997</v>
      </c>
      <c r="G94" s="104">
        <f t="shared" si="280"/>
        <v>2.26641</v>
      </c>
      <c r="H94" s="104">
        <f t="shared" si="304"/>
        <v>192.01986477839998</v>
      </c>
      <c r="I94" s="91">
        <v>15</v>
      </c>
      <c r="J94" s="92">
        <f t="shared" si="305"/>
        <v>48.004966194599994</v>
      </c>
      <c r="K94" s="91">
        <v>0</v>
      </c>
      <c r="L94" s="91">
        <v>0</v>
      </c>
      <c r="M94" s="92">
        <f t="shared" si="306"/>
        <v>48.004966194599994</v>
      </c>
      <c r="N94" s="92">
        <f t="shared" si="307"/>
        <v>48.004966194599994</v>
      </c>
      <c r="O94" s="93">
        <v>0</v>
      </c>
      <c r="P94" s="92">
        <f t="shared" si="281"/>
        <v>50.405214504329997</v>
      </c>
      <c r="Q94" s="94">
        <v>0</v>
      </c>
      <c r="R94" s="94">
        <v>0</v>
      </c>
      <c r="S94" s="301"/>
      <c r="T94" s="297"/>
      <c r="U94" s="297"/>
      <c r="V94" s="297"/>
      <c r="W94" s="297"/>
      <c r="X94" s="297"/>
      <c r="Y94" s="91" t="s">
        <v>106</v>
      </c>
      <c r="Z94" s="91" t="s">
        <v>106</v>
      </c>
      <c r="AA94" s="91">
        <v>106</v>
      </c>
      <c r="AB94" s="91" t="s">
        <v>106</v>
      </c>
      <c r="AC94" s="92" t="e">
        <f t="shared" si="282"/>
        <v>#VALUE!</v>
      </c>
      <c r="AD94" s="92" t="e">
        <f t="shared" si="283"/>
        <v>#VALUE!</v>
      </c>
      <c r="AE94" s="92" t="e">
        <f t="shared" si="284"/>
        <v>#VALUE!</v>
      </c>
      <c r="AF94" s="92" t="e">
        <f t="shared" si="285"/>
        <v>#VALUE!</v>
      </c>
      <c r="AG94" s="92">
        <f t="shared" si="286"/>
        <v>42.676500300000001</v>
      </c>
      <c r="AH94" s="92" t="e">
        <f t="shared" si="287"/>
        <v>#VALUE!</v>
      </c>
      <c r="AI94" s="92">
        <f t="shared" si="288"/>
        <v>0</v>
      </c>
      <c r="AJ94" s="92" t="e">
        <f t="shared" si="289"/>
        <v>#VALUE!</v>
      </c>
      <c r="AK94" s="92" t="e">
        <f t="shared" si="290"/>
        <v>#VALUE!</v>
      </c>
      <c r="AL94" s="92" t="e">
        <f t="shared" si="291"/>
        <v>#VALUE!</v>
      </c>
      <c r="AM94" s="92">
        <f t="shared" si="292"/>
        <v>0</v>
      </c>
      <c r="AN94" s="92" t="e">
        <f t="shared" si="293"/>
        <v>#VALUE!</v>
      </c>
      <c r="AO94" s="92" t="e">
        <f t="shared" si="294"/>
        <v>#VALUE!</v>
      </c>
      <c r="AP94" s="92" t="e">
        <f t="shared" si="295"/>
        <v>#VALUE!</v>
      </c>
      <c r="AQ94" s="92" t="e">
        <f t="shared" si="296"/>
        <v>#VALUE!</v>
      </c>
      <c r="AR94" s="92">
        <f t="shared" si="297"/>
        <v>5170.7109187527549</v>
      </c>
      <c r="AS94" s="92" t="e">
        <f t="shared" si="298"/>
        <v>#VALUE!</v>
      </c>
      <c r="AT94" s="92" t="e">
        <f t="shared" si="299"/>
        <v>#VALUE!</v>
      </c>
      <c r="AU94" s="92">
        <v>49</v>
      </c>
      <c r="AV94" s="92" t="e">
        <f t="shared" si="300"/>
        <v>#VALUE!</v>
      </c>
      <c r="AW94" s="282">
        <v>5</v>
      </c>
      <c r="AX94" s="282">
        <f t="shared" si="308"/>
        <v>2</v>
      </c>
      <c r="AY94" s="282">
        <f t="shared" si="309"/>
        <v>0</v>
      </c>
      <c r="AZ94" s="282">
        <f t="shared" si="310"/>
        <v>0</v>
      </c>
      <c r="BA94" s="282">
        <f t="shared" si="311"/>
        <v>0</v>
      </c>
      <c r="BB94" s="303"/>
      <c r="BC94" s="303"/>
      <c r="BD94" s="303"/>
      <c r="BE94" s="303"/>
      <c r="BF94" s="303"/>
      <c r="BG94" s="303"/>
      <c r="BH94" s="303"/>
      <c r="BI94" s="303"/>
      <c r="BJ94" s="336"/>
      <c r="BK94" s="115"/>
    </row>
    <row r="95" spans="1:63" s="100" customFormat="1" ht="15.75" thickBot="1">
      <c r="A95" s="90">
        <v>45</v>
      </c>
      <c r="B95" s="300"/>
      <c r="C95" s="106" t="s">
        <v>118</v>
      </c>
      <c r="D95" s="91">
        <v>2.2000000000000002</v>
      </c>
      <c r="E95" s="94">
        <v>3.71</v>
      </c>
      <c r="F95" s="91">
        <v>7.8739999999999997</v>
      </c>
      <c r="G95" s="104">
        <f t="shared" si="280"/>
        <v>8.1620000000000008</v>
      </c>
      <c r="H95" s="104">
        <f t="shared" si="304"/>
        <v>691.51924687999997</v>
      </c>
      <c r="I95" s="91">
        <v>15</v>
      </c>
      <c r="J95" s="92">
        <f t="shared" si="305"/>
        <v>172.87981171999999</v>
      </c>
      <c r="K95" s="91">
        <v>0</v>
      </c>
      <c r="L95" s="91">
        <v>0</v>
      </c>
      <c r="M95" s="92">
        <f t="shared" si="306"/>
        <v>172.87981171999999</v>
      </c>
      <c r="N95" s="92">
        <f t="shared" si="307"/>
        <v>172.87981171999999</v>
      </c>
      <c r="O95" s="93">
        <v>0</v>
      </c>
      <c r="P95" s="92">
        <f t="shared" si="281"/>
        <v>181.52380230599999</v>
      </c>
      <c r="Q95" s="94">
        <v>0</v>
      </c>
      <c r="R95" s="94">
        <v>0</v>
      </c>
      <c r="S95" s="301"/>
      <c r="T95" s="297"/>
      <c r="U95" s="297"/>
      <c r="V95" s="297"/>
      <c r="W95" s="297"/>
      <c r="X95" s="297"/>
      <c r="Y95" s="91" t="s">
        <v>106</v>
      </c>
      <c r="Z95" s="91" t="s">
        <v>106</v>
      </c>
      <c r="AA95" s="91">
        <v>106</v>
      </c>
      <c r="AB95" s="91" t="s">
        <v>106</v>
      </c>
      <c r="AC95" s="92" t="e">
        <f t="shared" si="282"/>
        <v>#VALUE!</v>
      </c>
      <c r="AD95" s="92" t="e">
        <f t="shared" si="283"/>
        <v>#VALUE!</v>
      </c>
      <c r="AE95" s="92" t="e">
        <f t="shared" si="284"/>
        <v>#VALUE!</v>
      </c>
      <c r="AF95" s="92" t="e">
        <f t="shared" si="285"/>
        <v>#VALUE!</v>
      </c>
      <c r="AG95" s="92">
        <f t="shared" si="286"/>
        <v>153.69046000000003</v>
      </c>
      <c r="AH95" s="92" t="e">
        <f t="shared" si="287"/>
        <v>#VALUE!</v>
      </c>
      <c r="AI95" s="92">
        <f t="shared" si="288"/>
        <v>0</v>
      </c>
      <c r="AJ95" s="92" t="e">
        <f t="shared" si="289"/>
        <v>#VALUE!</v>
      </c>
      <c r="AK95" s="92" t="e">
        <f t="shared" si="290"/>
        <v>#VALUE!</v>
      </c>
      <c r="AL95" s="92" t="e">
        <f t="shared" si="291"/>
        <v>#VALUE!</v>
      </c>
      <c r="AM95" s="92">
        <f t="shared" si="292"/>
        <v>0</v>
      </c>
      <c r="AN95" s="92" t="e">
        <f t="shared" si="293"/>
        <v>#VALUE!</v>
      </c>
      <c r="AO95" s="92" t="e">
        <f t="shared" si="294"/>
        <v>#VALUE!</v>
      </c>
      <c r="AP95" s="92" t="e">
        <f t="shared" si="295"/>
        <v>#VALUE!</v>
      </c>
      <c r="AQ95" s="92" t="e">
        <f t="shared" si="296"/>
        <v>#VALUE!</v>
      </c>
      <c r="AR95" s="92">
        <f t="shared" si="297"/>
        <v>18621.23027998464</v>
      </c>
      <c r="AS95" s="92" t="e">
        <f t="shared" si="298"/>
        <v>#VALUE!</v>
      </c>
      <c r="AT95" s="92" t="e">
        <f t="shared" si="299"/>
        <v>#VALUE!</v>
      </c>
      <c r="AU95" s="92">
        <v>49</v>
      </c>
      <c r="AV95" s="92" t="e">
        <f t="shared" si="300"/>
        <v>#VALUE!</v>
      </c>
      <c r="AW95" s="282">
        <v>5</v>
      </c>
      <c r="AX95" s="282">
        <f t="shared" si="308"/>
        <v>2</v>
      </c>
      <c r="AY95" s="282">
        <f t="shared" si="309"/>
        <v>0</v>
      </c>
      <c r="AZ95" s="282">
        <f t="shared" si="310"/>
        <v>0</v>
      </c>
      <c r="BA95" s="282">
        <f t="shared" si="311"/>
        <v>0</v>
      </c>
      <c r="BB95" s="303"/>
      <c r="BC95" s="303"/>
      <c r="BD95" s="303"/>
      <c r="BE95" s="303"/>
      <c r="BF95" s="303"/>
      <c r="BG95" s="303"/>
      <c r="BH95" s="303"/>
      <c r="BI95" s="303"/>
      <c r="BJ95" s="336"/>
      <c r="BK95" s="116"/>
    </row>
    <row r="96" spans="1:63" s="89" customFormat="1">
      <c r="A96" s="90">
        <v>46</v>
      </c>
      <c r="B96" s="300"/>
      <c r="C96" s="106" t="s">
        <v>143</v>
      </c>
      <c r="D96" s="91">
        <v>2.2749999999999999</v>
      </c>
      <c r="E96" s="94">
        <v>3.71</v>
      </c>
      <c r="F96" s="91">
        <v>7.8739999999999997</v>
      </c>
      <c r="G96" s="104">
        <f t="shared" si="280"/>
        <v>8.4402499999999989</v>
      </c>
      <c r="H96" s="104">
        <f t="shared" si="304"/>
        <v>715.0937666599998</v>
      </c>
      <c r="I96" s="91">
        <v>15</v>
      </c>
      <c r="J96" s="92">
        <f t="shared" si="305"/>
        <v>178.77344166499995</v>
      </c>
      <c r="K96" s="91">
        <v>0</v>
      </c>
      <c r="L96" s="91">
        <v>0</v>
      </c>
      <c r="M96" s="92">
        <f t="shared" si="306"/>
        <v>178.77344166499995</v>
      </c>
      <c r="N96" s="92">
        <f t="shared" si="307"/>
        <v>178.77344166499995</v>
      </c>
      <c r="O96" s="93">
        <v>0</v>
      </c>
      <c r="P96" s="92">
        <f t="shared" si="281"/>
        <v>187.71211374824995</v>
      </c>
      <c r="Q96" s="94">
        <v>0</v>
      </c>
      <c r="R96" s="94">
        <v>0</v>
      </c>
      <c r="S96" s="301"/>
      <c r="T96" s="297"/>
      <c r="U96" s="297"/>
      <c r="V96" s="297"/>
      <c r="W96" s="297"/>
      <c r="X96" s="297"/>
      <c r="Y96" s="91" t="s">
        <v>106</v>
      </c>
      <c r="Z96" s="91" t="s">
        <v>106</v>
      </c>
      <c r="AA96" s="91">
        <v>106</v>
      </c>
      <c r="AB96" s="91" t="s">
        <v>106</v>
      </c>
      <c r="AC96" s="92" t="e">
        <f t="shared" si="282"/>
        <v>#VALUE!</v>
      </c>
      <c r="AD96" s="92" t="e">
        <f t="shared" si="283"/>
        <v>#VALUE!</v>
      </c>
      <c r="AE96" s="92" t="e">
        <f t="shared" si="284"/>
        <v>#VALUE!</v>
      </c>
      <c r="AF96" s="92" t="e">
        <f t="shared" si="285"/>
        <v>#VALUE!</v>
      </c>
      <c r="AG96" s="92">
        <f t="shared" si="286"/>
        <v>158.92990749999998</v>
      </c>
      <c r="AH96" s="92" t="e">
        <f t="shared" si="287"/>
        <v>#VALUE!</v>
      </c>
      <c r="AI96" s="92">
        <f t="shared" si="288"/>
        <v>0</v>
      </c>
      <c r="AJ96" s="92" t="e">
        <f t="shared" si="289"/>
        <v>#VALUE!</v>
      </c>
      <c r="AK96" s="92" t="e">
        <f t="shared" si="290"/>
        <v>#VALUE!</v>
      </c>
      <c r="AL96" s="92" t="e">
        <f t="shared" si="291"/>
        <v>#VALUE!</v>
      </c>
      <c r="AM96" s="92">
        <f t="shared" si="292"/>
        <v>0</v>
      </c>
      <c r="AN96" s="92" t="e">
        <f t="shared" si="293"/>
        <v>#VALUE!</v>
      </c>
      <c r="AO96" s="92" t="e">
        <f t="shared" si="294"/>
        <v>#VALUE!</v>
      </c>
      <c r="AP96" s="92" t="e">
        <f t="shared" si="295"/>
        <v>#VALUE!</v>
      </c>
      <c r="AQ96" s="92" t="e">
        <f t="shared" si="296"/>
        <v>#VALUE!</v>
      </c>
      <c r="AR96" s="92">
        <f t="shared" si="297"/>
        <v>19256.044948620478</v>
      </c>
      <c r="AS96" s="92" t="e">
        <f t="shared" si="298"/>
        <v>#VALUE!</v>
      </c>
      <c r="AT96" s="92" t="e">
        <f t="shared" si="299"/>
        <v>#VALUE!</v>
      </c>
      <c r="AU96" s="92">
        <v>49</v>
      </c>
      <c r="AV96" s="92" t="e">
        <f t="shared" si="300"/>
        <v>#VALUE!</v>
      </c>
      <c r="AW96" s="282">
        <v>5</v>
      </c>
      <c r="AX96" s="282">
        <f t="shared" si="308"/>
        <v>2</v>
      </c>
      <c r="AY96" s="282">
        <f t="shared" si="309"/>
        <v>0</v>
      </c>
      <c r="AZ96" s="282">
        <f t="shared" si="310"/>
        <v>0</v>
      </c>
      <c r="BA96" s="282">
        <f t="shared" si="311"/>
        <v>0</v>
      </c>
      <c r="BB96" s="303"/>
      <c r="BC96" s="303"/>
      <c r="BD96" s="303"/>
      <c r="BE96" s="303"/>
      <c r="BF96" s="303"/>
      <c r="BG96" s="303"/>
      <c r="BH96" s="303"/>
      <c r="BI96" s="303"/>
      <c r="BJ96" s="336"/>
      <c r="BK96" s="114"/>
    </row>
    <row r="97" spans="1:63" s="95" customFormat="1">
      <c r="A97" s="90">
        <v>47</v>
      </c>
      <c r="B97" s="300"/>
      <c r="C97" s="106" t="s">
        <v>144</v>
      </c>
      <c r="D97" s="91">
        <v>2.2000000000000002</v>
      </c>
      <c r="E97" s="94">
        <v>3.71</v>
      </c>
      <c r="F97" s="91">
        <v>7.8739999999999997</v>
      </c>
      <c r="G97" s="104">
        <f t="shared" si="280"/>
        <v>8.1620000000000008</v>
      </c>
      <c r="H97" s="104">
        <f t="shared" si="304"/>
        <v>691.51924687999997</v>
      </c>
      <c r="I97" s="91">
        <v>15</v>
      </c>
      <c r="J97" s="92">
        <f t="shared" si="305"/>
        <v>172.87981171999999</v>
      </c>
      <c r="K97" s="91">
        <v>0</v>
      </c>
      <c r="L97" s="91">
        <v>0</v>
      </c>
      <c r="M97" s="92">
        <f t="shared" si="306"/>
        <v>172.87981171999999</v>
      </c>
      <c r="N97" s="92">
        <f t="shared" si="307"/>
        <v>172.87981171999999</v>
      </c>
      <c r="O97" s="93">
        <v>0</v>
      </c>
      <c r="P97" s="92">
        <f t="shared" si="281"/>
        <v>181.52380230599999</v>
      </c>
      <c r="Q97" s="94">
        <v>0</v>
      </c>
      <c r="R97" s="94">
        <v>0</v>
      </c>
      <c r="S97" s="301"/>
      <c r="T97" s="297"/>
      <c r="U97" s="297"/>
      <c r="V97" s="297"/>
      <c r="W97" s="297"/>
      <c r="X97" s="297"/>
      <c r="Y97" s="91" t="s">
        <v>106</v>
      </c>
      <c r="Z97" s="91" t="s">
        <v>106</v>
      </c>
      <c r="AA97" s="91">
        <v>106</v>
      </c>
      <c r="AB97" s="91" t="s">
        <v>106</v>
      </c>
      <c r="AC97" s="92" t="e">
        <f t="shared" si="282"/>
        <v>#VALUE!</v>
      </c>
      <c r="AD97" s="92" t="e">
        <f t="shared" si="283"/>
        <v>#VALUE!</v>
      </c>
      <c r="AE97" s="92" t="e">
        <f t="shared" si="284"/>
        <v>#VALUE!</v>
      </c>
      <c r="AF97" s="92" t="e">
        <f t="shared" si="285"/>
        <v>#VALUE!</v>
      </c>
      <c r="AG97" s="92">
        <f t="shared" si="286"/>
        <v>153.69046000000003</v>
      </c>
      <c r="AH97" s="92" t="e">
        <f t="shared" si="287"/>
        <v>#VALUE!</v>
      </c>
      <c r="AI97" s="92">
        <f t="shared" si="288"/>
        <v>0</v>
      </c>
      <c r="AJ97" s="92" t="e">
        <f t="shared" si="289"/>
        <v>#VALUE!</v>
      </c>
      <c r="AK97" s="92" t="e">
        <f t="shared" si="290"/>
        <v>#VALUE!</v>
      </c>
      <c r="AL97" s="92" t="e">
        <f t="shared" si="291"/>
        <v>#VALUE!</v>
      </c>
      <c r="AM97" s="92">
        <f t="shared" si="292"/>
        <v>0</v>
      </c>
      <c r="AN97" s="92" t="e">
        <f t="shared" si="293"/>
        <v>#VALUE!</v>
      </c>
      <c r="AO97" s="92" t="e">
        <f t="shared" si="294"/>
        <v>#VALUE!</v>
      </c>
      <c r="AP97" s="92" t="e">
        <f t="shared" si="295"/>
        <v>#VALUE!</v>
      </c>
      <c r="AQ97" s="92" t="e">
        <f t="shared" si="296"/>
        <v>#VALUE!</v>
      </c>
      <c r="AR97" s="92">
        <f t="shared" si="297"/>
        <v>18621.23027998464</v>
      </c>
      <c r="AS97" s="92" t="e">
        <f t="shared" si="298"/>
        <v>#VALUE!</v>
      </c>
      <c r="AT97" s="92" t="e">
        <f t="shared" si="299"/>
        <v>#VALUE!</v>
      </c>
      <c r="AU97" s="92">
        <v>49</v>
      </c>
      <c r="AV97" s="92" t="e">
        <f t="shared" si="300"/>
        <v>#VALUE!</v>
      </c>
      <c r="AW97" s="282">
        <v>5</v>
      </c>
      <c r="AX97" s="282">
        <f t="shared" si="308"/>
        <v>2</v>
      </c>
      <c r="AY97" s="282">
        <f t="shared" si="309"/>
        <v>0</v>
      </c>
      <c r="AZ97" s="282">
        <f t="shared" si="310"/>
        <v>0</v>
      </c>
      <c r="BA97" s="282">
        <f t="shared" si="311"/>
        <v>0</v>
      </c>
      <c r="BB97" s="303"/>
      <c r="BC97" s="303"/>
      <c r="BD97" s="303"/>
      <c r="BE97" s="303"/>
      <c r="BF97" s="303"/>
      <c r="BG97" s="303"/>
      <c r="BH97" s="303"/>
      <c r="BI97" s="303"/>
      <c r="BJ97" s="336"/>
      <c r="BK97" s="115"/>
    </row>
    <row r="98" spans="1:63" s="95" customFormat="1" ht="15.75" thickBot="1">
      <c r="A98" s="90">
        <v>48</v>
      </c>
      <c r="B98" s="300"/>
      <c r="C98" s="106" t="s">
        <v>105</v>
      </c>
      <c r="D98" s="91">
        <v>2.2749999999999999</v>
      </c>
      <c r="E98" s="94">
        <v>3.71</v>
      </c>
      <c r="F98" s="91">
        <v>7.8739999999999997</v>
      </c>
      <c r="G98" s="104">
        <f t="shared" si="280"/>
        <v>8.4402499999999989</v>
      </c>
      <c r="H98" s="104">
        <f t="shared" si="304"/>
        <v>715.0937666599998</v>
      </c>
      <c r="I98" s="91">
        <v>15</v>
      </c>
      <c r="J98" s="92">
        <f t="shared" si="305"/>
        <v>178.77344166499995</v>
      </c>
      <c r="K98" s="91">
        <v>0</v>
      </c>
      <c r="L98" s="91">
        <v>0</v>
      </c>
      <c r="M98" s="92">
        <f t="shared" si="306"/>
        <v>178.77344166499995</v>
      </c>
      <c r="N98" s="92">
        <f t="shared" si="307"/>
        <v>178.77344166499995</v>
      </c>
      <c r="O98" s="93">
        <v>0</v>
      </c>
      <c r="P98" s="92">
        <f t="shared" si="281"/>
        <v>187.71211374824995</v>
      </c>
      <c r="Q98" s="94">
        <v>0</v>
      </c>
      <c r="R98" s="94">
        <v>0</v>
      </c>
      <c r="S98" s="301"/>
      <c r="T98" s="298"/>
      <c r="U98" s="298"/>
      <c r="V98" s="298"/>
      <c r="W98" s="298"/>
      <c r="X98" s="298"/>
      <c r="Y98" s="91" t="s">
        <v>106</v>
      </c>
      <c r="Z98" s="91" t="s">
        <v>106</v>
      </c>
      <c r="AA98" s="91">
        <v>106</v>
      </c>
      <c r="AB98" s="91" t="s">
        <v>106</v>
      </c>
      <c r="AC98" s="92" t="e">
        <f t="shared" si="282"/>
        <v>#VALUE!</v>
      </c>
      <c r="AD98" s="92" t="e">
        <f t="shared" si="283"/>
        <v>#VALUE!</v>
      </c>
      <c r="AE98" s="92" t="e">
        <f t="shared" si="284"/>
        <v>#VALUE!</v>
      </c>
      <c r="AF98" s="92" t="e">
        <f t="shared" si="285"/>
        <v>#VALUE!</v>
      </c>
      <c r="AG98" s="92">
        <f t="shared" si="286"/>
        <v>158.92990749999998</v>
      </c>
      <c r="AH98" s="92" t="e">
        <f t="shared" si="287"/>
        <v>#VALUE!</v>
      </c>
      <c r="AI98" s="92">
        <f t="shared" si="288"/>
        <v>0</v>
      </c>
      <c r="AJ98" s="92" t="e">
        <f t="shared" si="289"/>
        <v>#VALUE!</v>
      </c>
      <c r="AK98" s="92" t="e">
        <f t="shared" si="290"/>
        <v>#VALUE!</v>
      </c>
      <c r="AL98" s="92" t="e">
        <f t="shared" si="291"/>
        <v>#VALUE!</v>
      </c>
      <c r="AM98" s="92">
        <f t="shared" si="292"/>
        <v>0</v>
      </c>
      <c r="AN98" s="92" t="e">
        <f t="shared" si="293"/>
        <v>#VALUE!</v>
      </c>
      <c r="AO98" s="92" t="e">
        <f t="shared" si="294"/>
        <v>#VALUE!</v>
      </c>
      <c r="AP98" s="92" t="e">
        <f t="shared" si="295"/>
        <v>#VALUE!</v>
      </c>
      <c r="AQ98" s="92" t="e">
        <f t="shared" si="296"/>
        <v>#VALUE!</v>
      </c>
      <c r="AR98" s="92">
        <f t="shared" si="297"/>
        <v>19256.044948620478</v>
      </c>
      <c r="AS98" s="92" t="e">
        <f t="shared" si="298"/>
        <v>#VALUE!</v>
      </c>
      <c r="AT98" s="92" t="e">
        <f t="shared" si="299"/>
        <v>#VALUE!</v>
      </c>
      <c r="AU98" s="92">
        <v>49</v>
      </c>
      <c r="AV98" s="92" t="e">
        <f t="shared" si="300"/>
        <v>#VALUE!</v>
      </c>
      <c r="AW98" s="282">
        <v>5</v>
      </c>
      <c r="AX98" s="282">
        <f t="shared" si="308"/>
        <v>2</v>
      </c>
      <c r="AY98" s="282">
        <f t="shared" si="309"/>
        <v>0</v>
      </c>
      <c r="AZ98" s="282">
        <f t="shared" si="310"/>
        <v>0</v>
      </c>
      <c r="BA98" s="282">
        <f t="shared" si="311"/>
        <v>0</v>
      </c>
      <c r="BB98" s="303"/>
      <c r="BC98" s="303"/>
      <c r="BD98" s="303"/>
      <c r="BE98" s="303"/>
      <c r="BF98" s="303"/>
      <c r="BG98" s="303"/>
      <c r="BH98" s="303"/>
      <c r="BI98" s="303"/>
      <c r="BJ98" s="336"/>
      <c r="BK98" s="115"/>
    </row>
    <row r="99" spans="1:63" s="101" customFormat="1" ht="15.75" customHeight="1" thickBot="1">
      <c r="A99" s="96"/>
      <c r="B99" s="97"/>
      <c r="C99" s="139"/>
      <c r="D99" s="97"/>
      <c r="E99" s="99"/>
      <c r="F99" s="97"/>
      <c r="G99" s="173">
        <f>SUM(G91:G98)</f>
        <v>180.16861399999999</v>
      </c>
      <c r="H99" s="173">
        <f>SUM(H91:H98)</f>
        <v>15264.648893003359</v>
      </c>
      <c r="I99" s="177"/>
      <c r="J99" s="175">
        <f t="shared" ref="J99:R99" si="312">SUM(J91:J98)</f>
        <v>3816.1622232508398</v>
      </c>
      <c r="K99" s="174">
        <f t="shared" si="312"/>
        <v>0</v>
      </c>
      <c r="L99" s="174">
        <f t="shared" si="312"/>
        <v>0</v>
      </c>
      <c r="M99" s="175">
        <f t="shared" si="312"/>
        <v>3816.1622232508398</v>
      </c>
      <c r="N99" s="175">
        <f t="shared" si="312"/>
        <v>3816.1622232508398</v>
      </c>
      <c r="O99" s="175">
        <f t="shared" si="312"/>
        <v>0</v>
      </c>
      <c r="P99" s="175">
        <f t="shared" si="312"/>
        <v>4006.9703344133823</v>
      </c>
      <c r="Q99" s="176">
        <f t="shared" si="312"/>
        <v>0</v>
      </c>
      <c r="R99" s="176">
        <f t="shared" si="312"/>
        <v>0</v>
      </c>
      <c r="S99" s="162"/>
      <c r="T99" s="162"/>
      <c r="U99" s="162"/>
      <c r="V99" s="162"/>
      <c r="W99" s="162"/>
      <c r="X99" s="162"/>
      <c r="Y99" s="97"/>
      <c r="Z99" s="97"/>
      <c r="AA99" s="97"/>
      <c r="AB99" s="97"/>
      <c r="AC99" s="98"/>
      <c r="AD99" s="98"/>
      <c r="AE99" s="98"/>
      <c r="AF99" s="98"/>
      <c r="AG99" s="98"/>
      <c r="AH99" s="98"/>
      <c r="AI99" s="98"/>
      <c r="AJ99" s="98"/>
      <c r="AK99" s="98"/>
      <c r="AL99" s="98"/>
      <c r="AM99" s="98"/>
      <c r="AN99" s="98"/>
      <c r="AO99" s="98"/>
      <c r="AP99" s="98"/>
      <c r="AQ99" s="98"/>
      <c r="AR99" s="98"/>
      <c r="AS99" s="98"/>
      <c r="AT99" s="98"/>
      <c r="AU99" s="98"/>
      <c r="AV99" s="98"/>
      <c r="AW99" s="283"/>
      <c r="AX99" s="283"/>
      <c r="AY99" s="283"/>
      <c r="AZ99" s="283"/>
      <c r="BA99" s="283"/>
      <c r="BB99" s="166"/>
      <c r="BC99" s="122"/>
      <c r="BJ99" s="254"/>
      <c r="BK99" s="122"/>
    </row>
    <row r="100" spans="1:63" s="193" customFormat="1" ht="24" thickBot="1">
      <c r="A100" s="207"/>
      <c r="B100" s="208">
        <v>13</v>
      </c>
      <c r="C100" s="185" t="s">
        <v>145</v>
      </c>
      <c r="D100" s="209"/>
      <c r="E100" s="209"/>
      <c r="F100" s="209"/>
      <c r="G100" s="209"/>
      <c r="H100" s="209"/>
      <c r="I100" s="209"/>
      <c r="J100" s="209"/>
      <c r="K100" s="209"/>
      <c r="L100" s="209"/>
      <c r="M100" s="209"/>
      <c r="N100" s="209"/>
      <c r="O100" s="209"/>
      <c r="P100" s="209"/>
      <c r="Q100" s="209"/>
      <c r="R100" s="209"/>
      <c r="S100" s="210"/>
      <c r="T100" s="210"/>
      <c r="U100" s="210"/>
      <c r="V100" s="210"/>
      <c r="W100" s="210"/>
      <c r="X100" s="210"/>
      <c r="Y100" s="209"/>
      <c r="Z100" s="209"/>
      <c r="AA100" s="209"/>
      <c r="AB100" s="209"/>
      <c r="AC100" s="209"/>
      <c r="AD100" s="209"/>
      <c r="AE100" s="209"/>
      <c r="AF100" s="209"/>
      <c r="AG100" s="209"/>
      <c r="AH100" s="209"/>
      <c r="AI100" s="209"/>
      <c r="AJ100" s="209"/>
      <c r="AK100" s="209"/>
      <c r="AL100" s="209"/>
      <c r="AM100" s="209"/>
      <c r="AN100" s="209"/>
      <c r="AO100" s="209"/>
      <c r="AP100" s="209"/>
      <c r="AQ100" s="209"/>
      <c r="AR100" s="209"/>
      <c r="AS100" s="209"/>
      <c r="AT100" s="209"/>
      <c r="AU100" s="209"/>
      <c r="AV100" s="209"/>
      <c r="AW100" s="286"/>
      <c r="AX100" s="286"/>
      <c r="AY100" s="286"/>
      <c r="AZ100" s="286"/>
      <c r="BA100" s="286"/>
      <c r="BB100" s="211"/>
      <c r="BC100" s="192"/>
      <c r="BJ100" s="255"/>
      <c r="BK100" s="192"/>
    </row>
    <row r="101" spans="1:63" s="101" customFormat="1" ht="15.75" thickBot="1">
      <c r="A101" s="90">
        <v>49</v>
      </c>
      <c r="B101" s="300" t="s">
        <v>99</v>
      </c>
      <c r="C101" s="106" t="s">
        <v>146</v>
      </c>
      <c r="D101" s="91">
        <v>5.2</v>
      </c>
      <c r="E101" s="94">
        <v>4.9909999999999997</v>
      </c>
      <c r="F101" s="91">
        <v>7.5460000000000003</v>
      </c>
      <c r="G101" s="104">
        <f>D101*E101</f>
        <v>25.953199999999999</v>
      </c>
      <c r="H101" s="104">
        <f>D101*E101*F101*10.76</f>
        <v>2107.2690358719997</v>
      </c>
      <c r="I101" s="91">
        <v>30</v>
      </c>
      <c r="J101" s="92">
        <f>H101*I101/60</f>
        <v>1053.6345179359998</v>
      </c>
      <c r="K101" s="91">
        <v>3</v>
      </c>
      <c r="L101" s="91">
        <v>6.7</v>
      </c>
      <c r="M101" s="92">
        <f>J101*0.1</f>
        <v>105.36345179359999</v>
      </c>
      <c r="N101" s="92">
        <f>J101*0</f>
        <v>0</v>
      </c>
      <c r="O101" s="93">
        <f>AV101</f>
        <v>5459.008314759154</v>
      </c>
      <c r="P101" s="92">
        <f>MAX(J101,O101)*1.1</f>
        <v>6004.9091462350698</v>
      </c>
      <c r="Q101" s="94">
        <f>AT101</f>
        <v>28.803171531991627</v>
      </c>
      <c r="R101" s="94">
        <f>P101/400</f>
        <v>15.012272865587674</v>
      </c>
      <c r="S101" s="301">
        <f>CEILING(MAX(SUM(Q101:Q107),SUM(R101:R107)),0.5)</f>
        <v>37.5</v>
      </c>
      <c r="T101" s="304">
        <f>S101*2.4</f>
        <v>90</v>
      </c>
      <c r="U101" s="304">
        <f>T101*0.0630902</f>
        <v>5.6781179999999996</v>
      </c>
      <c r="V101" s="304">
        <f>0.26*SQRT(T101)</f>
        <v>2.4665765749313362</v>
      </c>
      <c r="W101" s="304">
        <f>CEILING(V101,0.5)</f>
        <v>2.5</v>
      </c>
      <c r="X101" s="304" t="s">
        <v>101</v>
      </c>
      <c r="Y101" s="91">
        <v>24</v>
      </c>
      <c r="Z101" s="91">
        <v>55</v>
      </c>
      <c r="AA101" s="91">
        <v>106</v>
      </c>
      <c r="AB101" s="91">
        <f>CEILING((9*Y101/5)+32,1)</f>
        <v>76</v>
      </c>
      <c r="AC101" s="92">
        <f t="shared" ref="AC101:AC107" si="313">(D101+E101)*2*10.76*F101*0.4*(AA101-AB101)</f>
        <v>19858.988096639998</v>
      </c>
      <c r="AD101" s="92">
        <f t="shared" ref="AD101:AD107" si="314">(D101+E101)*2*10.76*F101*0.28*(AA101-AB101)</f>
        <v>13901.291667648</v>
      </c>
      <c r="AE101" s="92">
        <f t="shared" ref="AE101:AE107" si="315">D101*E101*0.4*10.76*(AA101-AB101)</f>
        <v>3351.0771839999998</v>
      </c>
      <c r="AF101" s="92">
        <f t="shared" ref="AF101:AF107" si="316">D101*E101*0.4*10.76*(AA101-AB101)</f>
        <v>3351.0771839999998</v>
      </c>
      <c r="AG101" s="92">
        <f t="shared" ref="AG101:AG107" si="317">D101*E101*1.75*10.76</f>
        <v>488.69875599999995</v>
      </c>
      <c r="AH101" s="92">
        <f t="shared" ref="AH101:AH107" si="318">L101*(3.5/2)*1.08*0.88*(AA101-AB101)*1000</f>
        <v>334303.2</v>
      </c>
      <c r="AI101" s="92">
        <f t="shared" ref="AI101:AI107" si="319">K101*285</f>
        <v>855</v>
      </c>
      <c r="AJ101" s="92">
        <f t="shared" ref="AJ101:AJ107" si="320">(M101+N101)*0.12*1.08*(AA101-AB101)</f>
        <v>409.65310057351678</v>
      </c>
      <c r="AK101" s="92">
        <f>(AC101+AD101+AE101+AF101)*0+AG101+AH101+AI101+AJ101</f>
        <v>336056.55185657355</v>
      </c>
      <c r="AL101" s="92">
        <f>AK101*1</f>
        <v>336056.55185657355</v>
      </c>
      <c r="AM101" s="92">
        <f t="shared" ref="AM101:AM107" si="321">K101*215</f>
        <v>645</v>
      </c>
      <c r="AN101" s="92">
        <f t="shared" ref="AN101:AN107" si="322">(M101+N101)*0.68*0.12*(AA101-AB101)</f>
        <v>257.92972999073282</v>
      </c>
      <c r="AO101" s="92">
        <f>(AM101+AN101)*1</f>
        <v>902.92972999073277</v>
      </c>
      <c r="AP101" s="92">
        <f>AO101+AL101</f>
        <v>336959.48158656427</v>
      </c>
      <c r="AQ101" s="92">
        <f t="shared" ref="AQ101:AQ107" si="323">(M101+N101)*0.88*1.08*(AA101-AB101)</f>
        <v>3004.1227375391231</v>
      </c>
      <c r="AR101" s="92">
        <f t="shared" ref="AR101:AR108" si="324">(M101+N101)*0.88*0.68*90</f>
        <v>5674.4540597961222</v>
      </c>
      <c r="AS101" s="92">
        <f>AL101+AO101+AQ101+AR101</f>
        <v>345638.05838389951</v>
      </c>
      <c r="AT101" s="92">
        <f>AS101/12000</f>
        <v>28.803171531991627</v>
      </c>
      <c r="AU101" s="92">
        <v>49</v>
      </c>
      <c r="AV101" s="92">
        <f>AL101/(1.08*(AA101-AU101))</f>
        <v>5459.008314759154</v>
      </c>
      <c r="AW101" s="282">
        <v>100000</v>
      </c>
      <c r="AX101" s="282">
        <f t="shared" ref="AX101:AX104" si="325">CEILING(IF(AW101=20,P101*1/350,(IF(AWB101=5,P101*1/300,0))),2)</f>
        <v>0</v>
      </c>
      <c r="AY101" s="282">
        <f t="shared" ref="AY101" si="326">CEILING(IF(AW101=100000,P101*1/250,0),2)</f>
        <v>26</v>
      </c>
      <c r="AZ101" s="282">
        <f t="shared" ref="AZ101" si="327">CEILING(IF(AW101=10000,P101*1/225,(IF(AWB101=10000,P101*1/225,0))),2)</f>
        <v>0</v>
      </c>
      <c r="BA101" s="282">
        <f t="shared" ref="BA101:BA104" si="328">CEILING(IF(AW101=1000,P101*1/100,(IF(AWB101=100,P101*1/100,0))),2)</f>
        <v>0</v>
      </c>
      <c r="BB101" s="302">
        <f>CEILING(SUM(P101:P107),50)</f>
        <v>9600</v>
      </c>
      <c r="BC101" s="302">
        <v>150</v>
      </c>
      <c r="BD101" s="302"/>
      <c r="BE101" s="302">
        <v>15</v>
      </c>
      <c r="BF101" s="302">
        <f>CEILING(N108*1.1, 25)</f>
        <v>275</v>
      </c>
      <c r="BG101" s="302">
        <v>50</v>
      </c>
      <c r="BH101" s="302"/>
      <c r="BI101" s="329">
        <v>0.5</v>
      </c>
      <c r="BJ101" s="338">
        <f>BE101*(750/1000)+S101*0.8+BI101*(750/1000)</f>
        <v>41.625</v>
      </c>
      <c r="BK101" s="114">
        <f>U101*3.6</f>
        <v>20.441224800000001</v>
      </c>
    </row>
    <row r="102" spans="1:63" s="101" customFormat="1" ht="15.75" thickBot="1">
      <c r="A102" s="90">
        <v>50</v>
      </c>
      <c r="B102" s="300"/>
      <c r="C102" s="106" t="s">
        <v>147</v>
      </c>
      <c r="D102" s="91">
        <v>2.98</v>
      </c>
      <c r="E102" s="94">
        <v>1.9359999999999999</v>
      </c>
      <c r="F102" s="91">
        <v>7.5460000000000003</v>
      </c>
      <c r="G102" s="104">
        <f t="shared" ref="G102:G107" si="329">D102*E102</f>
        <v>5.7692800000000002</v>
      </c>
      <c r="H102" s="104">
        <f t="shared" ref="H102:H107" si="330">D102*E102*F102*10.76</f>
        <v>468.43645882880003</v>
      </c>
      <c r="I102" s="91">
        <v>30</v>
      </c>
      <c r="J102" s="92">
        <f t="shared" ref="J102:J107" si="331">H102*I102/60</f>
        <v>234.21822941440001</v>
      </c>
      <c r="K102" s="91">
        <v>1</v>
      </c>
      <c r="L102" s="91">
        <v>1</v>
      </c>
      <c r="M102" s="92">
        <f t="shared" ref="M102:M108" si="332">J102*0.1</f>
        <v>23.421822941440002</v>
      </c>
      <c r="N102" s="92">
        <f>J102*1</f>
        <v>234.21822941440001</v>
      </c>
      <c r="O102" s="93">
        <f t="shared" ref="O102:O107" si="333">AV102</f>
        <v>833.19265864131751</v>
      </c>
      <c r="P102" s="92">
        <f t="shared" ref="P102:P107" si="334">MAX(J102,O102)*1.1</f>
        <v>916.51192450544931</v>
      </c>
      <c r="Q102" s="94">
        <f t="shared" ref="Q102:Q107" si="335">AT102</f>
        <v>6.1131948955477018</v>
      </c>
      <c r="R102" s="94">
        <f t="shared" ref="R102:R108" si="336">P102/400</f>
        <v>2.2912798112636232</v>
      </c>
      <c r="S102" s="301"/>
      <c r="T102" s="297"/>
      <c r="U102" s="297"/>
      <c r="V102" s="297"/>
      <c r="W102" s="297"/>
      <c r="X102" s="297"/>
      <c r="Y102" s="91">
        <v>24</v>
      </c>
      <c r="Z102" s="91" t="s">
        <v>106</v>
      </c>
      <c r="AA102" s="91">
        <v>106</v>
      </c>
      <c r="AB102" s="91">
        <f t="shared" ref="AB102:AB107" si="337">CEILING((9*Y102/5)+32,1)</f>
        <v>76</v>
      </c>
      <c r="AC102" s="92">
        <f t="shared" si="313"/>
        <v>9579.7061606400021</v>
      </c>
      <c r="AD102" s="92">
        <f t="shared" si="314"/>
        <v>6705.7943124480007</v>
      </c>
      <c r="AE102" s="92">
        <f t="shared" si="315"/>
        <v>744.92943360000004</v>
      </c>
      <c r="AF102" s="92">
        <f t="shared" si="316"/>
        <v>744.92943360000004</v>
      </c>
      <c r="AG102" s="92">
        <f t="shared" si="317"/>
        <v>108.63554239999999</v>
      </c>
      <c r="AH102" s="92">
        <f t="shared" si="318"/>
        <v>49896</v>
      </c>
      <c r="AI102" s="92">
        <f t="shared" si="319"/>
        <v>285</v>
      </c>
      <c r="AJ102" s="92">
        <f t="shared" si="320"/>
        <v>1001.7045235595059</v>
      </c>
      <c r="AK102" s="92">
        <f t="shared" ref="AK102:AK107" si="338">(AC102+AD102+AE102+AF102)*0+AG102+AH102+AI102+AJ102</f>
        <v>51291.340065959506</v>
      </c>
      <c r="AL102" s="92">
        <f t="shared" ref="AL102:AL107" si="339">AK102*1</f>
        <v>51291.340065959506</v>
      </c>
      <c r="AM102" s="92">
        <f t="shared" si="321"/>
        <v>215</v>
      </c>
      <c r="AN102" s="92">
        <f t="shared" si="322"/>
        <v>630.70284816709636</v>
      </c>
      <c r="AO102" s="92">
        <f t="shared" ref="AO102:AO107" si="340">(AM102+AN102)*1</f>
        <v>845.70284816709636</v>
      </c>
      <c r="AP102" s="92">
        <f t="shared" ref="AP102:AP107" si="341">AO102+AL102</f>
        <v>52137.042914126599</v>
      </c>
      <c r="AQ102" s="92">
        <f t="shared" si="323"/>
        <v>7345.8331727697096</v>
      </c>
      <c r="AR102" s="92">
        <f t="shared" si="324"/>
        <v>13875.462659676119</v>
      </c>
      <c r="AS102" s="92">
        <f t="shared" ref="AS102:AS107" si="342">AL102+AO102+AQ102+AR102</f>
        <v>73358.338746572423</v>
      </c>
      <c r="AT102" s="92">
        <f t="shared" ref="AT102:AT107" si="343">AS102/12000</f>
        <v>6.1131948955477018</v>
      </c>
      <c r="AU102" s="92">
        <v>49</v>
      </c>
      <c r="AV102" s="92">
        <f t="shared" ref="AV102:AV107" si="344">AL102/(1.08*(AA102-AU102))</f>
        <v>833.19265864131751</v>
      </c>
      <c r="AW102" s="282">
        <v>100000</v>
      </c>
      <c r="AX102" s="282">
        <f t="shared" si="325"/>
        <v>0</v>
      </c>
      <c r="AY102" s="282">
        <f t="shared" ref="AY102:AY107" si="345">CEILING(IF(AW102=100000,P102*1/250,0),2)</f>
        <v>4</v>
      </c>
      <c r="AZ102" s="282">
        <f t="shared" ref="AZ102:AZ107" si="346">CEILING(IF(AW102=10000,P102*1/225,(IF(AWB102=10000,P102*1/225,0))),2)</f>
        <v>0</v>
      </c>
      <c r="BA102" s="282">
        <f t="shared" si="328"/>
        <v>0</v>
      </c>
      <c r="BB102" s="302"/>
      <c r="BC102" s="302"/>
      <c r="BD102" s="302"/>
      <c r="BE102" s="302"/>
      <c r="BF102" s="302"/>
      <c r="BG102" s="302"/>
      <c r="BH102" s="302"/>
      <c r="BI102" s="329"/>
      <c r="BJ102" s="338"/>
      <c r="BK102" s="122"/>
    </row>
    <row r="103" spans="1:63" s="101" customFormat="1" ht="15.75" thickBot="1">
      <c r="A103" s="90">
        <v>51</v>
      </c>
      <c r="B103" s="300"/>
      <c r="C103" s="106" t="s">
        <v>119</v>
      </c>
      <c r="D103" s="91">
        <v>3.2349999999999999</v>
      </c>
      <c r="E103" s="94">
        <v>2.98</v>
      </c>
      <c r="F103" s="91">
        <v>7.5460000000000003</v>
      </c>
      <c r="G103" s="104">
        <f t="shared" si="329"/>
        <v>9.6402999999999999</v>
      </c>
      <c r="H103" s="104">
        <f t="shared" si="330"/>
        <v>782.74377288799997</v>
      </c>
      <c r="I103" s="91">
        <v>30</v>
      </c>
      <c r="J103" s="92">
        <f t="shared" si="331"/>
        <v>391.37188644399998</v>
      </c>
      <c r="K103" s="91">
        <v>1</v>
      </c>
      <c r="L103" s="91">
        <v>0</v>
      </c>
      <c r="M103" s="92">
        <f t="shared" si="332"/>
        <v>39.137188644399998</v>
      </c>
      <c r="N103" s="92">
        <f t="shared" ref="N103:N107" si="347">J103*0</f>
        <v>0</v>
      </c>
      <c r="O103" s="93">
        <f t="shared" si="333"/>
        <v>10.050231293850343</v>
      </c>
      <c r="P103" s="92">
        <f t="shared" si="334"/>
        <v>430.50907508840004</v>
      </c>
      <c r="Q103" s="94">
        <f t="shared" si="335"/>
        <v>0.34609600254273815</v>
      </c>
      <c r="R103" s="94">
        <f t="shared" si="336"/>
        <v>1.076272687721</v>
      </c>
      <c r="S103" s="301"/>
      <c r="T103" s="297"/>
      <c r="U103" s="297"/>
      <c r="V103" s="297"/>
      <c r="W103" s="297"/>
      <c r="X103" s="297"/>
      <c r="Y103" s="91">
        <v>24</v>
      </c>
      <c r="Z103" s="91">
        <v>55</v>
      </c>
      <c r="AA103" s="91">
        <v>106</v>
      </c>
      <c r="AB103" s="91">
        <f t="shared" si="337"/>
        <v>76</v>
      </c>
      <c r="AC103" s="92">
        <f t="shared" si="313"/>
        <v>12111.040233600001</v>
      </c>
      <c r="AD103" s="92">
        <f t="shared" si="314"/>
        <v>8477.7281635200015</v>
      </c>
      <c r="AE103" s="92">
        <f t="shared" si="315"/>
        <v>1244.7555359999999</v>
      </c>
      <c r="AF103" s="92">
        <f t="shared" si="316"/>
        <v>1244.7555359999999</v>
      </c>
      <c r="AG103" s="92">
        <f t="shared" si="317"/>
        <v>181.526849</v>
      </c>
      <c r="AH103" s="92">
        <f t="shared" si="318"/>
        <v>0</v>
      </c>
      <c r="AI103" s="92">
        <f t="shared" si="319"/>
        <v>285</v>
      </c>
      <c r="AJ103" s="92">
        <f t="shared" si="320"/>
        <v>152.16538944942721</v>
      </c>
      <c r="AK103" s="92">
        <f t="shared" si="338"/>
        <v>618.69223844942712</v>
      </c>
      <c r="AL103" s="92">
        <f t="shared" si="339"/>
        <v>618.69223844942712</v>
      </c>
      <c r="AM103" s="92">
        <f t="shared" si="321"/>
        <v>215</v>
      </c>
      <c r="AN103" s="92">
        <f t="shared" si="322"/>
        <v>95.807837801491203</v>
      </c>
      <c r="AO103" s="92">
        <f t="shared" si="340"/>
        <v>310.80783780149119</v>
      </c>
      <c r="AP103" s="92">
        <f t="shared" si="341"/>
        <v>929.50007625091826</v>
      </c>
      <c r="AQ103" s="92">
        <f t="shared" si="323"/>
        <v>1115.8795226291329</v>
      </c>
      <c r="AR103" s="92">
        <f t="shared" si="324"/>
        <v>2107.7724316328067</v>
      </c>
      <c r="AS103" s="92">
        <f t="shared" si="342"/>
        <v>4153.1520305128579</v>
      </c>
      <c r="AT103" s="92">
        <f t="shared" si="343"/>
        <v>0.34609600254273815</v>
      </c>
      <c r="AU103" s="92">
        <v>49</v>
      </c>
      <c r="AV103" s="92">
        <f t="shared" si="344"/>
        <v>10.050231293850343</v>
      </c>
      <c r="AW103" s="282">
        <v>100000</v>
      </c>
      <c r="AX103" s="282">
        <f t="shared" si="325"/>
        <v>0</v>
      </c>
      <c r="AY103" s="282">
        <f t="shared" si="345"/>
        <v>2</v>
      </c>
      <c r="AZ103" s="282">
        <f t="shared" si="346"/>
        <v>0</v>
      </c>
      <c r="BA103" s="282">
        <f t="shared" si="328"/>
        <v>0</v>
      </c>
      <c r="BB103" s="302"/>
      <c r="BC103" s="302"/>
      <c r="BD103" s="302"/>
      <c r="BE103" s="302"/>
      <c r="BF103" s="302"/>
      <c r="BG103" s="302"/>
      <c r="BH103" s="302"/>
      <c r="BI103" s="329"/>
      <c r="BJ103" s="338"/>
      <c r="BK103" s="122"/>
    </row>
    <row r="104" spans="1:63" s="101" customFormat="1" ht="15.75" thickBot="1">
      <c r="A104" s="90">
        <v>52</v>
      </c>
      <c r="B104" s="300"/>
      <c r="C104" s="106" t="s">
        <v>148</v>
      </c>
      <c r="D104" s="91">
        <v>5.4</v>
      </c>
      <c r="E104" s="94">
        <v>1.917</v>
      </c>
      <c r="F104" s="91">
        <v>7.5460000000000003</v>
      </c>
      <c r="G104" s="104">
        <f t="shared" si="329"/>
        <v>10.351800000000001</v>
      </c>
      <c r="H104" s="104">
        <f t="shared" si="330"/>
        <v>840.51398692800012</v>
      </c>
      <c r="I104" s="91">
        <v>30</v>
      </c>
      <c r="J104" s="92">
        <f t="shared" si="331"/>
        <v>420.25699346400012</v>
      </c>
      <c r="K104" s="91">
        <v>1</v>
      </c>
      <c r="L104" s="91">
        <v>0</v>
      </c>
      <c r="M104" s="92">
        <f t="shared" si="332"/>
        <v>42.025699346400017</v>
      </c>
      <c r="N104" s="92">
        <f t="shared" si="347"/>
        <v>0</v>
      </c>
      <c r="O104" s="93">
        <f t="shared" si="333"/>
        <v>10.450297483086473</v>
      </c>
      <c r="P104" s="92">
        <f t="shared" si="334"/>
        <v>462.28269281040019</v>
      </c>
      <c r="Q104" s="94">
        <f t="shared" si="335"/>
        <v>0.36856433573525554</v>
      </c>
      <c r="R104" s="94">
        <f t="shared" si="336"/>
        <v>1.1557067320260004</v>
      </c>
      <c r="S104" s="301"/>
      <c r="T104" s="297"/>
      <c r="U104" s="297"/>
      <c r="V104" s="297"/>
      <c r="W104" s="297"/>
      <c r="X104" s="297"/>
      <c r="Y104" s="91">
        <v>24</v>
      </c>
      <c r="Z104" s="91">
        <v>55</v>
      </c>
      <c r="AA104" s="91">
        <v>106</v>
      </c>
      <c r="AB104" s="91">
        <f t="shared" si="337"/>
        <v>76</v>
      </c>
      <c r="AC104" s="92">
        <f t="shared" si="313"/>
        <v>14258.484535680001</v>
      </c>
      <c r="AD104" s="92">
        <f t="shared" si="314"/>
        <v>9980.9391749760016</v>
      </c>
      <c r="AE104" s="92">
        <f t="shared" si="315"/>
        <v>1336.6244160000003</v>
      </c>
      <c r="AF104" s="92">
        <f t="shared" si="316"/>
        <v>1336.6244160000003</v>
      </c>
      <c r="AG104" s="92">
        <f t="shared" si="317"/>
        <v>194.92439400000001</v>
      </c>
      <c r="AH104" s="92">
        <f t="shared" si="318"/>
        <v>0</v>
      </c>
      <c r="AI104" s="92">
        <f t="shared" si="319"/>
        <v>285</v>
      </c>
      <c r="AJ104" s="92">
        <f t="shared" si="320"/>
        <v>163.39591905880326</v>
      </c>
      <c r="AK104" s="92">
        <f t="shared" si="338"/>
        <v>643.32031305880332</v>
      </c>
      <c r="AL104" s="92">
        <f t="shared" si="339"/>
        <v>643.32031305880332</v>
      </c>
      <c r="AM104" s="92">
        <f t="shared" si="321"/>
        <v>215</v>
      </c>
      <c r="AN104" s="92">
        <f t="shared" si="322"/>
        <v>102.87891199998724</v>
      </c>
      <c r="AO104" s="92">
        <f t="shared" si="340"/>
        <v>317.87891199998722</v>
      </c>
      <c r="AP104" s="92">
        <f t="shared" si="341"/>
        <v>961.19922505879049</v>
      </c>
      <c r="AQ104" s="92">
        <f t="shared" si="323"/>
        <v>1198.2367397645573</v>
      </c>
      <c r="AR104" s="92">
        <f t="shared" si="324"/>
        <v>2263.336063999719</v>
      </c>
      <c r="AS104" s="92">
        <f t="shared" si="342"/>
        <v>4422.7720288230666</v>
      </c>
      <c r="AT104" s="92">
        <f t="shared" si="343"/>
        <v>0.36856433573525554</v>
      </c>
      <c r="AU104" s="92">
        <v>49</v>
      </c>
      <c r="AV104" s="92">
        <f t="shared" si="344"/>
        <v>10.450297483086473</v>
      </c>
      <c r="AW104" s="282">
        <v>100000</v>
      </c>
      <c r="AX104" s="282">
        <f t="shared" si="325"/>
        <v>0</v>
      </c>
      <c r="AY104" s="282">
        <f t="shared" si="345"/>
        <v>2</v>
      </c>
      <c r="AZ104" s="282">
        <f t="shared" si="346"/>
        <v>0</v>
      </c>
      <c r="BA104" s="282">
        <f t="shared" si="328"/>
        <v>0</v>
      </c>
      <c r="BB104" s="302"/>
      <c r="BC104" s="302"/>
      <c r="BD104" s="302"/>
      <c r="BE104" s="302"/>
      <c r="BF104" s="302"/>
      <c r="BG104" s="302"/>
      <c r="BH104" s="302"/>
      <c r="BI104" s="329"/>
      <c r="BJ104" s="338"/>
      <c r="BK104" s="122"/>
    </row>
    <row r="105" spans="1:63" s="101" customFormat="1" ht="15.75" thickBot="1">
      <c r="A105" s="90">
        <v>53</v>
      </c>
      <c r="B105" s="300"/>
      <c r="C105" s="106" t="s">
        <v>131</v>
      </c>
      <c r="D105" s="91">
        <v>2.7639999999999998</v>
      </c>
      <c r="E105" s="94">
        <v>2.1349999999999998</v>
      </c>
      <c r="F105" s="91">
        <v>7.5460000000000003</v>
      </c>
      <c r="G105" s="104">
        <f t="shared" si="329"/>
        <v>5.9011399999999989</v>
      </c>
      <c r="H105" s="104">
        <f t="shared" si="330"/>
        <v>479.14282625439995</v>
      </c>
      <c r="I105" s="91">
        <v>30</v>
      </c>
      <c r="J105" s="92">
        <f t="shared" si="331"/>
        <v>239.57141312719997</v>
      </c>
      <c r="K105" s="91">
        <v>1</v>
      </c>
      <c r="L105" s="91">
        <v>0</v>
      </c>
      <c r="M105" s="92">
        <f t="shared" si="332"/>
        <v>23.957141312719997</v>
      </c>
      <c r="N105" s="92">
        <f t="shared" si="347"/>
        <v>0</v>
      </c>
      <c r="O105" s="93">
        <f t="shared" si="333"/>
        <v>7.9477555494453433</v>
      </c>
      <c r="P105" s="92">
        <f t="shared" si="334"/>
        <v>263.52855443992001</v>
      </c>
      <c r="Q105" s="94">
        <f t="shared" si="335"/>
        <v>0.22801772743362622</v>
      </c>
      <c r="R105" s="94">
        <f t="shared" si="336"/>
        <v>0.65882138609980001</v>
      </c>
      <c r="S105" s="301"/>
      <c r="T105" s="297"/>
      <c r="U105" s="297"/>
      <c r="V105" s="297"/>
      <c r="W105" s="297"/>
      <c r="X105" s="297"/>
      <c r="Y105" s="91">
        <v>24</v>
      </c>
      <c r="Z105" s="91">
        <v>55</v>
      </c>
      <c r="AA105" s="91">
        <v>106</v>
      </c>
      <c r="AB105" s="91">
        <f t="shared" si="337"/>
        <v>76</v>
      </c>
      <c r="AC105" s="92">
        <f t="shared" si="313"/>
        <v>9546.5786169599978</v>
      </c>
      <c r="AD105" s="92">
        <f t="shared" si="314"/>
        <v>6682.605031871999</v>
      </c>
      <c r="AE105" s="92">
        <f t="shared" si="315"/>
        <v>761.95519679999984</v>
      </c>
      <c r="AF105" s="92">
        <f t="shared" si="316"/>
        <v>761.95519679999984</v>
      </c>
      <c r="AG105" s="92">
        <f t="shared" si="317"/>
        <v>111.11846619999999</v>
      </c>
      <c r="AH105" s="92">
        <f t="shared" si="318"/>
        <v>0</v>
      </c>
      <c r="AI105" s="92">
        <f t="shared" si="319"/>
        <v>285</v>
      </c>
      <c r="AJ105" s="92">
        <f t="shared" si="320"/>
        <v>93.145365423855353</v>
      </c>
      <c r="AK105" s="92">
        <f t="shared" si="338"/>
        <v>489.26383162385537</v>
      </c>
      <c r="AL105" s="92">
        <f t="shared" si="339"/>
        <v>489.26383162385537</v>
      </c>
      <c r="AM105" s="92">
        <f t="shared" si="321"/>
        <v>215</v>
      </c>
      <c r="AN105" s="92">
        <f t="shared" si="322"/>
        <v>58.647081933538551</v>
      </c>
      <c r="AO105" s="92">
        <f t="shared" si="340"/>
        <v>273.64708193353857</v>
      </c>
      <c r="AP105" s="92">
        <f t="shared" si="341"/>
        <v>762.910913557394</v>
      </c>
      <c r="AQ105" s="92">
        <f t="shared" si="323"/>
        <v>683.06601310827261</v>
      </c>
      <c r="AR105" s="92">
        <f t="shared" si="324"/>
        <v>1290.2358025378483</v>
      </c>
      <c r="AS105" s="92">
        <f t="shared" si="342"/>
        <v>2736.2127292035148</v>
      </c>
      <c r="AT105" s="92">
        <f t="shared" si="343"/>
        <v>0.22801772743362622</v>
      </c>
      <c r="AU105" s="92">
        <v>49</v>
      </c>
      <c r="AV105" s="92">
        <f t="shared" si="344"/>
        <v>7.9477555494453433</v>
      </c>
      <c r="AW105" s="282">
        <v>100000</v>
      </c>
      <c r="AX105" s="282">
        <f t="shared" ref="AX105:AX107" si="348">CEILING(IF(AW105=20,P105*1/350,(IF(AWB105=5,P105*1/300,0))),2)</f>
        <v>0</v>
      </c>
      <c r="AY105" s="282">
        <f t="shared" si="345"/>
        <v>2</v>
      </c>
      <c r="AZ105" s="282">
        <f t="shared" si="346"/>
        <v>0</v>
      </c>
      <c r="BA105" s="282">
        <f t="shared" ref="BA105:BA107" si="349">CEILING(IF(AW105=1000,P105*1/100,(IF(AWB105=100,P105*1/100,0))),2)</f>
        <v>0</v>
      </c>
      <c r="BB105" s="302"/>
      <c r="BC105" s="302"/>
      <c r="BD105" s="302"/>
      <c r="BE105" s="302"/>
      <c r="BF105" s="302"/>
      <c r="BG105" s="302"/>
      <c r="BH105" s="302"/>
      <c r="BI105" s="329"/>
      <c r="BJ105" s="338"/>
      <c r="BK105" s="122"/>
    </row>
    <row r="106" spans="1:63" s="101" customFormat="1" ht="15.75" thickBot="1">
      <c r="A106" s="90">
        <v>54</v>
      </c>
      <c r="B106" s="300"/>
      <c r="C106" s="106" t="s">
        <v>100</v>
      </c>
      <c r="D106" s="91">
        <v>2.5449999999999999</v>
      </c>
      <c r="E106" s="94">
        <v>2.1349999999999998</v>
      </c>
      <c r="F106" s="91">
        <v>7.5460000000000003</v>
      </c>
      <c r="G106" s="104">
        <f t="shared" si="329"/>
        <v>5.4335749999999994</v>
      </c>
      <c r="H106" s="104">
        <f t="shared" si="330"/>
        <v>441.1789047819999</v>
      </c>
      <c r="I106" s="91">
        <v>30</v>
      </c>
      <c r="J106" s="92">
        <f t="shared" si="331"/>
        <v>220.58945239099995</v>
      </c>
      <c r="K106" s="91">
        <v>1</v>
      </c>
      <c r="L106" s="91">
        <v>0</v>
      </c>
      <c r="M106" s="92">
        <f t="shared" si="332"/>
        <v>22.058945239099998</v>
      </c>
      <c r="N106" s="92">
        <f t="shared" si="347"/>
        <v>0</v>
      </c>
      <c r="O106" s="93">
        <f t="shared" si="333"/>
        <v>7.6848504928463406</v>
      </c>
      <c r="P106" s="92">
        <f t="shared" si="334"/>
        <v>242.64839763009996</v>
      </c>
      <c r="Q106" s="94">
        <f t="shared" si="335"/>
        <v>0.2132525746449272</v>
      </c>
      <c r="R106" s="94">
        <f t="shared" si="336"/>
        <v>0.60662099407524994</v>
      </c>
      <c r="S106" s="301"/>
      <c r="T106" s="297"/>
      <c r="U106" s="297"/>
      <c r="V106" s="297"/>
      <c r="W106" s="297"/>
      <c r="X106" s="297"/>
      <c r="Y106" s="91">
        <v>24</v>
      </c>
      <c r="Z106" s="91">
        <v>55</v>
      </c>
      <c r="AA106" s="91">
        <v>106</v>
      </c>
      <c r="AB106" s="91">
        <f t="shared" si="337"/>
        <v>76</v>
      </c>
      <c r="AC106" s="92">
        <f t="shared" si="313"/>
        <v>9119.8179072000003</v>
      </c>
      <c r="AD106" s="92">
        <f t="shared" si="314"/>
        <v>6383.8725350399991</v>
      </c>
      <c r="AE106" s="92">
        <f t="shared" si="315"/>
        <v>701.58320399999991</v>
      </c>
      <c r="AF106" s="92">
        <f t="shared" si="316"/>
        <v>701.58320399999991</v>
      </c>
      <c r="AG106" s="92">
        <f t="shared" si="317"/>
        <v>102.31421724999998</v>
      </c>
      <c r="AH106" s="92">
        <f t="shared" si="318"/>
        <v>0</v>
      </c>
      <c r="AI106" s="92">
        <f t="shared" si="319"/>
        <v>285</v>
      </c>
      <c r="AJ106" s="92">
        <f t="shared" si="320"/>
        <v>85.765179089620787</v>
      </c>
      <c r="AK106" s="92">
        <f t="shared" si="338"/>
        <v>473.07939633962076</v>
      </c>
      <c r="AL106" s="92">
        <f t="shared" si="339"/>
        <v>473.07939633962076</v>
      </c>
      <c r="AM106" s="92">
        <f t="shared" si="321"/>
        <v>215</v>
      </c>
      <c r="AN106" s="92">
        <f t="shared" si="322"/>
        <v>54.000297945316795</v>
      </c>
      <c r="AO106" s="92">
        <f t="shared" si="340"/>
        <v>269.00029794531679</v>
      </c>
      <c r="AP106" s="92">
        <f t="shared" si="341"/>
        <v>742.07969428493755</v>
      </c>
      <c r="AQ106" s="92">
        <f t="shared" si="323"/>
        <v>628.94464665721921</v>
      </c>
      <c r="AR106" s="92">
        <f t="shared" si="324"/>
        <v>1188.0065547969696</v>
      </c>
      <c r="AS106" s="92">
        <f t="shared" si="342"/>
        <v>2559.0308957391262</v>
      </c>
      <c r="AT106" s="92">
        <f t="shared" si="343"/>
        <v>0.2132525746449272</v>
      </c>
      <c r="AU106" s="92">
        <v>49</v>
      </c>
      <c r="AV106" s="92">
        <f t="shared" si="344"/>
        <v>7.6848504928463406</v>
      </c>
      <c r="AW106" s="282">
        <v>100000</v>
      </c>
      <c r="AX106" s="282">
        <f t="shared" si="348"/>
        <v>0</v>
      </c>
      <c r="AY106" s="282">
        <f t="shared" si="345"/>
        <v>2</v>
      </c>
      <c r="AZ106" s="282">
        <f t="shared" si="346"/>
        <v>0</v>
      </c>
      <c r="BA106" s="282">
        <f t="shared" si="349"/>
        <v>0</v>
      </c>
      <c r="BB106" s="302"/>
      <c r="BC106" s="302"/>
      <c r="BD106" s="302"/>
      <c r="BE106" s="302"/>
      <c r="BF106" s="302"/>
      <c r="BG106" s="302"/>
      <c r="BH106" s="302"/>
      <c r="BI106" s="329"/>
      <c r="BJ106" s="338"/>
      <c r="BK106" s="122"/>
    </row>
    <row r="107" spans="1:63" s="101" customFormat="1" ht="15.75" thickBot="1">
      <c r="A107" s="90">
        <v>55</v>
      </c>
      <c r="B107" s="300"/>
      <c r="C107" s="106" t="s">
        <v>133</v>
      </c>
      <c r="D107" s="91">
        <v>13.167999999999999</v>
      </c>
      <c r="E107" s="94">
        <v>2.1349999999999998</v>
      </c>
      <c r="F107" s="91">
        <v>7.5460000000000003</v>
      </c>
      <c r="G107" s="104">
        <f t="shared" si="329"/>
        <v>28.113679999999995</v>
      </c>
      <c r="H107" s="104">
        <f t="shared" si="330"/>
        <v>2282.6891230527995</v>
      </c>
      <c r="I107" s="91">
        <v>30</v>
      </c>
      <c r="J107" s="92">
        <f t="shared" si="331"/>
        <v>1141.3445615263997</v>
      </c>
      <c r="K107" s="91">
        <v>1</v>
      </c>
      <c r="L107" s="91">
        <v>0</v>
      </c>
      <c r="M107" s="92">
        <f t="shared" si="332"/>
        <v>114.13445615263998</v>
      </c>
      <c r="N107" s="92">
        <f t="shared" si="347"/>
        <v>0</v>
      </c>
      <c r="O107" s="93">
        <f t="shared" si="333"/>
        <v>20.437546457463679</v>
      </c>
      <c r="P107" s="92">
        <f t="shared" si="334"/>
        <v>1255.4790176790398</v>
      </c>
      <c r="Q107" s="94">
        <f t="shared" si="335"/>
        <v>0.9294636160803148</v>
      </c>
      <c r="R107" s="94">
        <f t="shared" si="336"/>
        <v>3.1386975441975995</v>
      </c>
      <c r="S107" s="301"/>
      <c r="T107" s="298"/>
      <c r="U107" s="298"/>
      <c r="V107" s="298"/>
      <c r="W107" s="298"/>
      <c r="X107" s="298"/>
      <c r="Y107" s="91">
        <v>24</v>
      </c>
      <c r="Z107" s="91">
        <v>55</v>
      </c>
      <c r="AA107" s="91">
        <v>106</v>
      </c>
      <c r="AB107" s="91">
        <f t="shared" si="337"/>
        <v>76</v>
      </c>
      <c r="AC107" s="92">
        <f t="shared" si="313"/>
        <v>29820.635349120003</v>
      </c>
      <c r="AD107" s="92">
        <f t="shared" si="314"/>
        <v>20874.444744384004</v>
      </c>
      <c r="AE107" s="92">
        <f t="shared" si="315"/>
        <v>3630.0383615999995</v>
      </c>
      <c r="AF107" s="92">
        <f t="shared" si="316"/>
        <v>3630.0383615999995</v>
      </c>
      <c r="AG107" s="92">
        <f t="shared" si="317"/>
        <v>529.38059439999995</v>
      </c>
      <c r="AH107" s="92">
        <f t="shared" si="318"/>
        <v>0</v>
      </c>
      <c r="AI107" s="92">
        <f t="shared" si="319"/>
        <v>285</v>
      </c>
      <c r="AJ107" s="92">
        <f t="shared" si="320"/>
        <v>443.75476552146426</v>
      </c>
      <c r="AK107" s="92">
        <f t="shared" si="338"/>
        <v>1258.1353599214642</v>
      </c>
      <c r="AL107" s="92">
        <f t="shared" si="339"/>
        <v>1258.1353599214642</v>
      </c>
      <c r="AM107" s="92">
        <f t="shared" si="321"/>
        <v>215</v>
      </c>
      <c r="AN107" s="92">
        <f t="shared" si="322"/>
        <v>279.40114866166266</v>
      </c>
      <c r="AO107" s="92">
        <f t="shared" si="340"/>
        <v>494.40114866166266</v>
      </c>
      <c r="AP107" s="92">
        <f t="shared" si="341"/>
        <v>1752.5365085831268</v>
      </c>
      <c r="AQ107" s="92">
        <f t="shared" si="323"/>
        <v>3254.2016138240715</v>
      </c>
      <c r="AR107" s="92">
        <f t="shared" si="324"/>
        <v>6146.8252705565792</v>
      </c>
      <c r="AS107" s="92">
        <f t="shared" si="342"/>
        <v>11153.563392963777</v>
      </c>
      <c r="AT107" s="92">
        <f t="shared" si="343"/>
        <v>0.9294636160803148</v>
      </c>
      <c r="AU107" s="92">
        <v>49</v>
      </c>
      <c r="AV107" s="92">
        <f t="shared" si="344"/>
        <v>20.437546457463679</v>
      </c>
      <c r="AW107" s="282">
        <v>100000</v>
      </c>
      <c r="AX107" s="282">
        <f t="shared" si="348"/>
        <v>0</v>
      </c>
      <c r="AY107" s="282">
        <f t="shared" si="345"/>
        <v>6</v>
      </c>
      <c r="AZ107" s="282">
        <f t="shared" si="346"/>
        <v>0</v>
      </c>
      <c r="BA107" s="282">
        <f t="shared" si="349"/>
        <v>0</v>
      </c>
      <c r="BB107" s="302"/>
      <c r="BC107" s="302"/>
      <c r="BD107" s="302"/>
      <c r="BE107" s="302"/>
      <c r="BF107" s="302"/>
      <c r="BG107" s="302"/>
      <c r="BH107" s="302"/>
      <c r="BI107" s="329"/>
      <c r="BJ107" s="338"/>
      <c r="BK107" s="122"/>
    </row>
    <row r="108" spans="1:63" s="101" customFormat="1" ht="16.5" customHeight="1" thickBot="1">
      <c r="A108" s="96"/>
      <c r="B108" s="117"/>
      <c r="C108" s="119"/>
      <c r="D108" s="97"/>
      <c r="E108" s="99"/>
      <c r="F108" s="97"/>
      <c r="G108" s="173">
        <f>SUM(G101:G107)</f>
        <v>91.162974999999989</v>
      </c>
      <c r="H108" s="173">
        <f>SUM(H101:H107)</f>
        <v>7401.9741086059985</v>
      </c>
      <c r="I108" s="177"/>
      <c r="J108" s="175">
        <f>SUM(J101:J107)</f>
        <v>3700.9870543029992</v>
      </c>
      <c r="K108" s="174">
        <f>SUM(K101:K107)</f>
        <v>9</v>
      </c>
      <c r="L108" s="174">
        <f>SUM(L101:L107)</f>
        <v>7.7</v>
      </c>
      <c r="M108" s="175">
        <f t="shared" si="332"/>
        <v>370.09870543029996</v>
      </c>
      <c r="N108" s="175">
        <f>SUM(N101:N107)</f>
        <v>234.21822941440001</v>
      </c>
      <c r="O108" s="175">
        <f>SUM(O101:O107)</f>
        <v>6348.7716546771644</v>
      </c>
      <c r="P108" s="175">
        <f>SUM(P101:P107)</f>
        <v>9575.868808388379</v>
      </c>
      <c r="Q108" s="176">
        <f>SUM(Q101:Q107)</f>
        <v>37.001760683976187</v>
      </c>
      <c r="R108" s="176">
        <f t="shared" si="336"/>
        <v>23.939672020970946</v>
      </c>
      <c r="S108" s="162"/>
      <c r="T108" s="162"/>
      <c r="U108" s="162"/>
      <c r="V108" s="162"/>
      <c r="W108" s="162"/>
      <c r="X108" s="162"/>
      <c r="Y108" s="97"/>
      <c r="Z108" s="97"/>
      <c r="AA108" s="97"/>
      <c r="AB108" s="97"/>
      <c r="AC108" s="98"/>
      <c r="AD108" s="98"/>
      <c r="AE108" s="98"/>
      <c r="AF108" s="98"/>
      <c r="AG108" s="98"/>
      <c r="AH108" s="98"/>
      <c r="AI108" s="98"/>
      <c r="AJ108" s="98"/>
      <c r="AK108" s="98"/>
      <c r="AL108" s="98"/>
      <c r="AM108" s="98"/>
      <c r="AN108" s="98"/>
      <c r="AO108" s="98"/>
      <c r="AP108" s="98"/>
      <c r="AQ108" s="98"/>
      <c r="AR108" s="98">
        <f t="shared" si="324"/>
        <v>32546.092842996164</v>
      </c>
      <c r="AS108" s="98"/>
      <c r="AT108" s="98"/>
      <c r="AU108" s="98"/>
      <c r="AV108" s="118">
        <f>SUM(AV101:AV107)</f>
        <v>6348.7716546771644</v>
      </c>
      <c r="AW108" s="287"/>
      <c r="AX108" s="287"/>
      <c r="AY108" s="287"/>
      <c r="AZ108" s="287"/>
      <c r="BA108" s="287"/>
      <c r="BB108" s="172"/>
      <c r="BC108" s="122"/>
      <c r="BJ108" s="254"/>
      <c r="BK108" s="122"/>
    </row>
    <row r="109" spans="1:63" s="193" customFormat="1" ht="24" thickBot="1">
      <c r="A109" s="183"/>
      <c r="B109" s="212">
        <v>14</v>
      </c>
      <c r="C109" s="185" t="s">
        <v>149</v>
      </c>
      <c r="D109" s="186"/>
      <c r="E109" s="187"/>
      <c r="F109" s="186"/>
      <c r="G109" s="188"/>
      <c r="H109" s="188"/>
      <c r="I109" s="186"/>
      <c r="J109" s="189"/>
      <c r="K109" s="186"/>
      <c r="L109" s="186"/>
      <c r="M109" s="189"/>
      <c r="N109" s="189"/>
      <c r="O109" s="190"/>
      <c r="P109" s="189"/>
      <c r="Q109" s="187"/>
      <c r="R109" s="187"/>
      <c r="S109" s="202"/>
      <c r="T109" s="202"/>
      <c r="U109" s="202"/>
      <c r="V109" s="202"/>
      <c r="W109" s="202"/>
      <c r="X109" s="202"/>
      <c r="Y109" s="186"/>
      <c r="Z109" s="186"/>
      <c r="AA109" s="186"/>
      <c r="AB109" s="186"/>
      <c r="AC109" s="189"/>
      <c r="AD109" s="189"/>
      <c r="AE109" s="189"/>
      <c r="AF109" s="189"/>
      <c r="AG109" s="189"/>
      <c r="AH109" s="189"/>
      <c r="AI109" s="189"/>
      <c r="AJ109" s="189"/>
      <c r="AK109" s="189"/>
      <c r="AL109" s="189"/>
      <c r="AM109" s="189"/>
      <c r="AN109" s="189"/>
      <c r="AO109" s="189"/>
      <c r="AP109" s="189"/>
      <c r="AQ109" s="189"/>
      <c r="AR109" s="189"/>
      <c r="AS109" s="189"/>
      <c r="AT109" s="189"/>
      <c r="AU109" s="189"/>
      <c r="AV109" s="189"/>
      <c r="AW109" s="281"/>
      <c r="AX109" s="281"/>
      <c r="AY109" s="281"/>
      <c r="AZ109" s="281"/>
      <c r="BA109" s="281"/>
      <c r="BB109" s="204"/>
      <c r="BC109" s="192"/>
      <c r="BJ109" s="255"/>
      <c r="BK109" s="192"/>
    </row>
    <row r="110" spans="1:63" s="101" customFormat="1" ht="15.75" thickBot="1">
      <c r="A110" s="90">
        <v>56</v>
      </c>
      <c r="B110" s="300"/>
      <c r="C110" s="106" t="s">
        <v>105</v>
      </c>
      <c r="D110" s="91">
        <v>2.0449999999999999</v>
      </c>
      <c r="E110" s="94">
        <v>2.262</v>
      </c>
      <c r="F110" s="91">
        <v>7.5460000000000003</v>
      </c>
      <c r="G110" s="104">
        <f t="shared" ref="G110:G113" si="350">D110*E110</f>
        <v>4.6257900000000003</v>
      </c>
      <c r="H110" s="104">
        <f>D110*E110*F110*10.76</f>
        <v>375.59083401840007</v>
      </c>
      <c r="I110" s="91">
        <v>30</v>
      </c>
      <c r="J110" s="92">
        <f>H110*I110/60</f>
        <v>187.79541700920007</v>
      </c>
      <c r="K110" s="91">
        <v>1</v>
      </c>
      <c r="L110" s="91">
        <v>0</v>
      </c>
      <c r="M110" s="92">
        <f t="shared" ref="M110:M113" si="351">J110*0.1</f>
        <v>18.779541700920007</v>
      </c>
      <c r="N110" s="92">
        <f>J110*1</f>
        <v>187.79541700920007</v>
      </c>
      <c r="O110" s="93">
        <f t="shared" ref="O110:O113" si="352">AV110</f>
        <v>19.091407816194717</v>
      </c>
      <c r="P110" s="92">
        <f>MAX(J110,O110)*1.1</f>
        <v>206.57495871012009</v>
      </c>
      <c r="Q110" s="94">
        <f t="shared" ref="Q110:Q113" si="353">AT110</f>
        <v>1.5759273969268743</v>
      </c>
      <c r="R110" s="94">
        <f t="shared" ref="R110:R114" si="354">P110/400</f>
        <v>0.51643739677530021</v>
      </c>
      <c r="S110" s="301">
        <f>CEILING(MAX(SUM(Q110:Q113),SUM(R110:R113)),0.5)</f>
        <v>42.5</v>
      </c>
      <c r="T110" s="304">
        <f>S110*2.4</f>
        <v>102</v>
      </c>
      <c r="U110" s="304">
        <f>T110*0.0630902</f>
        <v>6.4352004000000003</v>
      </c>
      <c r="V110" s="304">
        <f>0.26*SQRT(T110)</f>
        <v>2.6258712839741403</v>
      </c>
      <c r="W110" s="304">
        <f>CEILING(V110,0.5)</f>
        <v>3</v>
      </c>
      <c r="X110" s="304" t="s">
        <v>101</v>
      </c>
      <c r="Y110" s="91">
        <v>24</v>
      </c>
      <c r="Z110" s="91" t="s">
        <v>106</v>
      </c>
      <c r="AA110" s="91">
        <v>106</v>
      </c>
      <c r="AB110" s="91">
        <f t="shared" ref="AB110:AB113" si="355">CEILING((9*Y110/5)+32,1)</f>
        <v>76</v>
      </c>
      <c r="AC110" s="92">
        <f>(D110+E110)*2*10.76*F110*0.4*(AA110-AB110)</f>
        <v>8392.9606252800004</v>
      </c>
      <c r="AD110" s="92">
        <f>(D110+E110)*2*10.76*F110*0.28*(AA110-AB110)</f>
        <v>5875.0724376960015</v>
      </c>
      <c r="AE110" s="92">
        <f>D110*E110*0.4*10.76*(AA110-AB110)</f>
        <v>597.2820048000001</v>
      </c>
      <c r="AF110" s="92">
        <f>D110*E110*0.4*10.76*(AA110-AB110)</f>
        <v>597.2820048000001</v>
      </c>
      <c r="AG110" s="92">
        <f>D110*E110*1.75*10.76</f>
        <v>87.103625699999995</v>
      </c>
      <c r="AH110" s="92">
        <f>L110*(3.5/2)*1.08*0.88*(AA110-AB110)*1000</f>
        <v>0</v>
      </c>
      <c r="AI110" s="92">
        <f>K110*285</f>
        <v>285</v>
      </c>
      <c r="AJ110" s="92">
        <f>(M110+N110)*0.12*1.08*(AA110-AB110)</f>
        <v>803.16343946494692</v>
      </c>
      <c r="AK110" s="92">
        <f t="shared" ref="AK110:AK113" si="356">(AC110+AD110+AE110+AF110)*0+AG110+AH110+AI110+AJ110</f>
        <v>1175.2670651649469</v>
      </c>
      <c r="AL110" s="92">
        <f t="shared" ref="AL110:AL113" si="357">AK110*1</f>
        <v>1175.2670651649469</v>
      </c>
      <c r="AM110" s="92">
        <f>K110*215</f>
        <v>215</v>
      </c>
      <c r="AN110" s="92">
        <f>(M110+N110)*0.68*0.12*(AA110-AB110)</f>
        <v>505.69549892237393</v>
      </c>
      <c r="AO110" s="92">
        <f t="shared" ref="AO110:AO113" si="358">(AM110+AN110)*1</f>
        <v>720.69549892237387</v>
      </c>
      <c r="AP110" s="92">
        <f t="shared" ref="AP110:AP113" si="359">AO110+AL110</f>
        <v>1895.9625640873207</v>
      </c>
      <c r="AQ110" s="92">
        <f>(M110+N110)*0.88*1.08*(AA110-AB110)</f>
        <v>5889.8652227429438</v>
      </c>
      <c r="AR110" s="92">
        <f>(M110+N110)*0.88*0.68*90</f>
        <v>11125.300976292227</v>
      </c>
      <c r="AS110" s="92">
        <f t="shared" ref="AS110:AS113" si="360">AL110+AO110+AQ110+AR110</f>
        <v>18911.128763122491</v>
      </c>
      <c r="AT110" s="92">
        <f t="shared" ref="AT110:AT113" si="361">AS110/12000</f>
        <v>1.5759273969268743</v>
      </c>
      <c r="AU110" s="92">
        <v>49</v>
      </c>
      <c r="AV110" s="92">
        <f>AL110/(1.08*(AA110-AU110))</f>
        <v>19.091407816194717</v>
      </c>
      <c r="AW110" s="282">
        <v>100000</v>
      </c>
      <c r="AX110" s="282">
        <f t="shared" ref="AX110:AX113" si="362">CEILING(IF(AW110=20,P110*1/350,(IF(AWB110=5,P110*1/300,0))),2)</f>
        <v>0</v>
      </c>
      <c r="AY110" s="282">
        <f t="shared" ref="AY110" si="363">CEILING(IF(AW110=100000,P110*1/250,0),2)</f>
        <v>2</v>
      </c>
      <c r="AZ110" s="282">
        <f t="shared" ref="AZ110" si="364">CEILING(IF(AW110=10000,P110*1/225,(IF(AWB110=10000,P110*1/225,0))),2)</f>
        <v>0</v>
      </c>
      <c r="BA110" s="282">
        <f t="shared" ref="BA110:BA113" si="365">CEILING(IF(AW110=1000,P110*1/100,(IF(AWB110=100,P110*1/100,0))),2)</f>
        <v>0</v>
      </c>
      <c r="BB110" s="303">
        <f>CEILING(SUM(P110:P113),50)</f>
        <v>8750</v>
      </c>
      <c r="BC110" s="303">
        <v>150</v>
      </c>
      <c r="BD110" s="303"/>
      <c r="BE110" s="303">
        <v>15</v>
      </c>
      <c r="BF110" s="303">
        <f>CEILING(N114*1.1, 25)</f>
        <v>225</v>
      </c>
      <c r="BG110" s="303">
        <v>50</v>
      </c>
      <c r="BH110" s="303"/>
      <c r="BI110" s="303">
        <v>0.5</v>
      </c>
      <c r="BJ110" s="336">
        <f>BE110*(750/1000)+S110*0.8+BI110*(750/1000)</f>
        <v>45.625</v>
      </c>
      <c r="BK110" s="114">
        <f>U110*3.6</f>
        <v>23.16672144</v>
      </c>
    </row>
    <row r="111" spans="1:63" s="101" customFormat="1" ht="15.75" thickBot="1">
      <c r="A111" s="90">
        <v>57</v>
      </c>
      <c r="B111" s="300"/>
      <c r="C111" s="106" t="s">
        <v>150</v>
      </c>
      <c r="D111" s="91">
        <v>5.72</v>
      </c>
      <c r="E111" s="94">
        <v>4.9969999999999999</v>
      </c>
      <c r="F111" s="91">
        <v>7.5460000000000003</v>
      </c>
      <c r="G111" s="104">
        <f t="shared" si="350"/>
        <v>28.582839999999997</v>
      </c>
      <c r="H111" s="104">
        <f t="shared" ref="H111:H113" si="366">D111*E111*F111*10.76</f>
        <v>2320.7825504863999</v>
      </c>
      <c r="I111" s="91">
        <v>30</v>
      </c>
      <c r="J111" s="92">
        <f t="shared" ref="J111:J113" si="367">H111*I111/60</f>
        <v>1160.3912752432</v>
      </c>
      <c r="K111" s="91">
        <v>1</v>
      </c>
      <c r="L111" s="91">
        <v>5.5</v>
      </c>
      <c r="M111" s="92">
        <f t="shared" si="351"/>
        <v>116.03912752432001</v>
      </c>
      <c r="N111" s="92">
        <f t="shared" ref="N111:N113" si="368">J111*0</f>
        <v>0</v>
      </c>
      <c r="O111" s="93">
        <f t="shared" si="352"/>
        <v>4478.596085201666</v>
      </c>
      <c r="P111" s="92">
        <f t="shared" ref="P111:P113" si="369">MAX(J111,O111)*1.1</f>
        <v>4926.4556937218331</v>
      </c>
      <c r="Q111" s="94">
        <f t="shared" si="353"/>
        <v>23.813279137093108</v>
      </c>
      <c r="R111" s="94">
        <f t="shared" si="354"/>
        <v>12.316139234304583</v>
      </c>
      <c r="S111" s="301"/>
      <c r="T111" s="297"/>
      <c r="U111" s="297"/>
      <c r="V111" s="297"/>
      <c r="W111" s="297"/>
      <c r="X111" s="297"/>
      <c r="Y111" s="91">
        <v>24</v>
      </c>
      <c r="Z111" s="91">
        <v>55</v>
      </c>
      <c r="AA111" s="91">
        <v>106</v>
      </c>
      <c r="AB111" s="91">
        <f t="shared" si="355"/>
        <v>76</v>
      </c>
      <c r="AC111" s="92">
        <f>(D111+E111)*2*10.76*F111*0.4*(AA111-AB111)</f>
        <v>20883.993271679999</v>
      </c>
      <c r="AD111" s="92">
        <f>(D111+E111)*2*10.76*F111*0.28*(AA111-AB111)</f>
        <v>14618.795290176</v>
      </c>
      <c r="AE111" s="92">
        <f>D111*E111*0.4*10.76*(AA111-AB111)</f>
        <v>3690.6163007999999</v>
      </c>
      <c r="AF111" s="92">
        <f>D111*E111*0.4*10.76*(AA111-AB111)</f>
        <v>3690.6163007999999</v>
      </c>
      <c r="AG111" s="92">
        <f>D111*E111*1.75*10.76</f>
        <v>538.21487719999993</v>
      </c>
      <c r="AH111" s="92">
        <f>L111*(3.5/2)*1.08*0.88*(AA111-AB111)*1000</f>
        <v>274428</v>
      </c>
      <c r="AI111" s="92">
        <f>K111*285</f>
        <v>285</v>
      </c>
      <c r="AJ111" s="92">
        <f>(M111+N111)*0.12*1.08*(AA111-AB111)</f>
        <v>451.16012781455623</v>
      </c>
      <c r="AK111" s="92">
        <f t="shared" si="356"/>
        <v>275702.37500501459</v>
      </c>
      <c r="AL111" s="92">
        <f t="shared" si="357"/>
        <v>275702.37500501459</v>
      </c>
      <c r="AM111" s="92">
        <f>K111*215</f>
        <v>215</v>
      </c>
      <c r="AN111" s="92">
        <f>(M111+N111)*0.68*0.12*(AA111-AB111)</f>
        <v>284.06378417953539</v>
      </c>
      <c r="AO111" s="92">
        <f t="shared" si="358"/>
        <v>499.06378417953539</v>
      </c>
      <c r="AP111" s="92">
        <f t="shared" si="359"/>
        <v>276201.4387891941</v>
      </c>
      <c r="AQ111" s="92">
        <f>(M111+N111)*0.88*1.08*(AA111-AB111)</f>
        <v>3308.5076039734126</v>
      </c>
      <c r="AR111" s="92">
        <f>(M111+N111)*0.88*0.68*90</f>
        <v>6249.4032519497796</v>
      </c>
      <c r="AS111" s="92">
        <f t="shared" si="360"/>
        <v>285759.3496451173</v>
      </c>
      <c r="AT111" s="92">
        <f t="shared" si="361"/>
        <v>23.813279137093108</v>
      </c>
      <c r="AU111" s="92">
        <v>49</v>
      </c>
      <c r="AV111" s="92">
        <f t="shared" ref="AV111:AV113" si="370">AL111/(1.08*(AA111-AU111))</f>
        <v>4478.596085201666</v>
      </c>
      <c r="AW111" s="282">
        <v>100000</v>
      </c>
      <c r="AX111" s="282">
        <f t="shared" si="362"/>
        <v>0</v>
      </c>
      <c r="AY111" s="282">
        <f t="shared" ref="AY111:AY113" si="371">CEILING(IF(AW111=100000,P111*1/250,0),2)</f>
        <v>20</v>
      </c>
      <c r="AZ111" s="282">
        <f t="shared" ref="AZ111:AZ113" si="372">CEILING(IF(AW111=10000,P111*1/225,(IF(AWB111=10000,P111*1/225,0))),2)</f>
        <v>0</v>
      </c>
      <c r="BA111" s="282">
        <f t="shared" si="365"/>
        <v>0</v>
      </c>
      <c r="BB111" s="303"/>
      <c r="BC111" s="303"/>
      <c r="BD111" s="303"/>
      <c r="BE111" s="303"/>
      <c r="BF111" s="303"/>
      <c r="BG111" s="303"/>
      <c r="BH111" s="303"/>
      <c r="BI111" s="303"/>
      <c r="BJ111" s="336"/>
      <c r="BK111" s="122"/>
    </row>
    <row r="112" spans="1:63" s="101" customFormat="1" ht="15.75" thickBot="1">
      <c r="A112" s="90">
        <v>57</v>
      </c>
      <c r="B112" s="300"/>
      <c r="C112" s="106" t="s">
        <v>150</v>
      </c>
      <c r="D112" s="91">
        <v>2.145</v>
      </c>
      <c r="E112" s="94">
        <v>2.6360000000000001</v>
      </c>
      <c r="F112" s="91">
        <v>7.5460000000000003</v>
      </c>
      <c r="G112" s="104">
        <f t="shared" si="350"/>
        <v>5.6542200000000005</v>
      </c>
      <c r="H112" s="104">
        <f t="shared" si="366"/>
        <v>459.09416673120006</v>
      </c>
      <c r="I112" s="91">
        <v>30</v>
      </c>
      <c r="J112" s="92">
        <f t="shared" si="367"/>
        <v>229.54708336560003</v>
      </c>
      <c r="K112" s="91">
        <v>1</v>
      </c>
      <c r="L112" s="91">
        <v>0</v>
      </c>
      <c r="M112" s="92">
        <f t="shared" si="351"/>
        <v>22.954708336560003</v>
      </c>
      <c r="N112" s="92">
        <f t="shared" si="368"/>
        <v>0</v>
      </c>
      <c r="O112" s="93">
        <f t="shared" si="352"/>
        <v>7.8089159943558357</v>
      </c>
      <c r="P112" s="92">
        <f t="shared" si="369"/>
        <v>252.50179170216006</v>
      </c>
      <c r="Q112" s="94">
        <f t="shared" si="353"/>
        <v>0.2202202842405182</v>
      </c>
      <c r="R112" s="94">
        <f t="shared" si="354"/>
        <v>0.63125447925540012</v>
      </c>
      <c r="S112" s="301"/>
      <c r="T112" s="297"/>
      <c r="U112" s="297"/>
      <c r="V112" s="297"/>
      <c r="W112" s="297"/>
      <c r="X112" s="297"/>
      <c r="Y112" s="91">
        <v>24</v>
      </c>
      <c r="Z112" s="91">
        <v>55</v>
      </c>
      <c r="AA112" s="91">
        <v>106</v>
      </c>
      <c r="AB112" s="91">
        <f t="shared" si="355"/>
        <v>76</v>
      </c>
      <c r="AC112" s="92">
        <f>(D112+E112)*2*10.76*F112*0.4*(AA112-AB112)</f>
        <v>9316.6344902400015</v>
      </c>
      <c r="AD112" s="92">
        <f>(D112+E112)*2*10.76*F112*0.28*(AA112-AB112)</f>
        <v>6521.6441431680014</v>
      </c>
      <c r="AE112" s="92">
        <f>D112*E112*0.4*10.76*(AA112-AB112)</f>
        <v>730.07288640000013</v>
      </c>
      <c r="AF112" s="92">
        <f>D112*E112*0.4*10.76*(AA112-AB112)</f>
        <v>730.07288640000013</v>
      </c>
      <c r="AG112" s="92">
        <f>D112*E112*1.75*10.76</f>
        <v>106.4689626</v>
      </c>
      <c r="AH112" s="92">
        <f>L112*(3.5/2)*1.08*0.88*(AA112-AB112)*1000</f>
        <v>0</v>
      </c>
      <c r="AI112" s="92">
        <f>K112*285</f>
        <v>285</v>
      </c>
      <c r="AJ112" s="92">
        <f>(M112+N112)*0.12*1.08*(AA112-AB112)</f>
        <v>89.2479060125453</v>
      </c>
      <c r="AK112" s="92">
        <f t="shared" si="356"/>
        <v>480.71686861254528</v>
      </c>
      <c r="AL112" s="92">
        <f t="shared" si="357"/>
        <v>480.71686861254528</v>
      </c>
      <c r="AM112" s="92">
        <f>K112*215</f>
        <v>215</v>
      </c>
      <c r="AN112" s="92">
        <f>(M112+N112)*0.68*0.12*(AA112-AB112)</f>
        <v>56.19312600789889</v>
      </c>
      <c r="AO112" s="92">
        <f t="shared" si="358"/>
        <v>271.19312600789891</v>
      </c>
      <c r="AP112" s="92">
        <f t="shared" si="359"/>
        <v>751.90999462044419</v>
      </c>
      <c r="AQ112" s="92">
        <f>(M112+N112)*0.88*1.08*(AA112-AB112)</f>
        <v>654.48464409199892</v>
      </c>
      <c r="AR112" s="92">
        <f>(M112+N112)*0.88*0.68*90</f>
        <v>1236.2487721737757</v>
      </c>
      <c r="AS112" s="92">
        <f t="shared" si="360"/>
        <v>2642.6434108862186</v>
      </c>
      <c r="AT112" s="92">
        <f t="shared" si="361"/>
        <v>0.2202202842405182</v>
      </c>
      <c r="AU112" s="92">
        <v>49</v>
      </c>
      <c r="AV112" s="92">
        <f t="shared" si="370"/>
        <v>7.8089159943558357</v>
      </c>
      <c r="AW112" s="282">
        <v>100000</v>
      </c>
      <c r="AX112" s="282">
        <f t="shared" si="362"/>
        <v>0</v>
      </c>
      <c r="AY112" s="282">
        <f t="shared" si="371"/>
        <v>2</v>
      </c>
      <c r="AZ112" s="282">
        <f t="shared" si="372"/>
        <v>0</v>
      </c>
      <c r="BA112" s="282">
        <f t="shared" si="365"/>
        <v>0</v>
      </c>
      <c r="BB112" s="303"/>
      <c r="BC112" s="303"/>
      <c r="BD112" s="303"/>
      <c r="BE112" s="303"/>
      <c r="BF112" s="303"/>
      <c r="BG112" s="303"/>
      <c r="BH112" s="303"/>
      <c r="BI112" s="303"/>
      <c r="BJ112" s="336"/>
      <c r="BK112" s="122"/>
    </row>
    <row r="113" spans="1:63" s="101" customFormat="1" ht="15.75" thickBot="1">
      <c r="A113" s="90">
        <v>58</v>
      </c>
      <c r="B113" s="300"/>
      <c r="C113" s="106" t="s">
        <v>150</v>
      </c>
      <c r="D113" s="91">
        <v>7.93</v>
      </c>
      <c r="E113" s="94">
        <v>5</v>
      </c>
      <c r="F113" s="91">
        <v>7.5460000000000003</v>
      </c>
      <c r="G113" s="104">
        <f t="shared" si="350"/>
        <v>39.65</v>
      </c>
      <c r="H113" s="104">
        <f t="shared" si="366"/>
        <v>3219.3801639999997</v>
      </c>
      <c r="I113" s="91">
        <v>30</v>
      </c>
      <c r="J113" s="92">
        <f t="shared" si="367"/>
        <v>1609.6900819999998</v>
      </c>
      <c r="K113" s="91">
        <v>2</v>
      </c>
      <c r="L113" s="91">
        <v>3.7</v>
      </c>
      <c r="M113" s="92">
        <f t="shared" si="351"/>
        <v>160.96900819999999</v>
      </c>
      <c r="N113" s="92">
        <f t="shared" si="368"/>
        <v>0</v>
      </c>
      <c r="O113" s="93">
        <f t="shared" si="352"/>
        <v>3030.5012508752702</v>
      </c>
      <c r="P113" s="92">
        <f t="shared" si="369"/>
        <v>3333.5513759627975</v>
      </c>
      <c r="Q113" s="94">
        <f t="shared" si="353"/>
        <v>16.720033700281071</v>
      </c>
      <c r="R113" s="94">
        <f t="shared" si="354"/>
        <v>8.333878439906993</v>
      </c>
      <c r="S113" s="301"/>
      <c r="T113" s="298"/>
      <c r="U113" s="298"/>
      <c r="V113" s="298"/>
      <c r="W113" s="298"/>
      <c r="X113" s="298"/>
      <c r="Y113" s="91">
        <v>24</v>
      </c>
      <c r="Z113" s="91">
        <v>55</v>
      </c>
      <c r="AA113" s="91">
        <v>106</v>
      </c>
      <c r="AB113" s="91">
        <f t="shared" si="355"/>
        <v>76</v>
      </c>
      <c r="AC113" s="92">
        <f>(D113+E113)*2*10.76*F113*0.4*(AA113-AB113)</f>
        <v>25196.419987200003</v>
      </c>
      <c r="AD113" s="92">
        <f>(D113+E113)*2*10.76*F113*0.28*(AA113-AB113)</f>
        <v>17637.493991040003</v>
      </c>
      <c r="AE113" s="92">
        <f>D113*E113*0.4*10.76*(AA113-AB113)</f>
        <v>5119.6079999999993</v>
      </c>
      <c r="AF113" s="92">
        <f>D113*E113*0.4*10.76*(AA113-AB113)</f>
        <v>5119.6079999999993</v>
      </c>
      <c r="AG113" s="92">
        <f>D113*E113*1.75*10.76</f>
        <v>746.60950000000003</v>
      </c>
      <c r="AH113" s="92">
        <f>L113*(3.5/2)*1.08*0.88*(AA113-AB113)*1000</f>
        <v>184615.20000000004</v>
      </c>
      <c r="AI113" s="92">
        <f>K113*285</f>
        <v>570</v>
      </c>
      <c r="AJ113" s="92">
        <f>(M113+N113)*0.12*1.08*(AA113-AB113)</f>
        <v>625.84750388160001</v>
      </c>
      <c r="AK113" s="92">
        <f t="shared" si="356"/>
        <v>186557.65700388164</v>
      </c>
      <c r="AL113" s="92">
        <f t="shared" si="357"/>
        <v>186557.65700388164</v>
      </c>
      <c r="AM113" s="92">
        <f>K113*215</f>
        <v>430</v>
      </c>
      <c r="AN113" s="92">
        <f>(M113+N113)*0.68*0.12*(AA113-AB113)</f>
        <v>394.05213207359998</v>
      </c>
      <c r="AO113" s="92">
        <f t="shared" si="358"/>
        <v>824.05213207359998</v>
      </c>
      <c r="AP113" s="92">
        <f t="shared" si="359"/>
        <v>187381.70913595523</v>
      </c>
      <c r="AQ113" s="92">
        <f>(M113+N113)*0.88*1.08*(AA113-AB113)</f>
        <v>4589.5483617983991</v>
      </c>
      <c r="AR113" s="92">
        <f>(M113+N113)*0.88*0.68*90</f>
        <v>8669.1469056192</v>
      </c>
      <c r="AS113" s="92">
        <f t="shared" si="360"/>
        <v>200640.40440337284</v>
      </c>
      <c r="AT113" s="92">
        <f t="shared" si="361"/>
        <v>16.720033700281071</v>
      </c>
      <c r="AU113" s="92">
        <v>49</v>
      </c>
      <c r="AV113" s="92">
        <f t="shared" si="370"/>
        <v>3030.5012508752702</v>
      </c>
      <c r="AW113" s="282">
        <v>100000</v>
      </c>
      <c r="AX113" s="282">
        <f t="shared" si="362"/>
        <v>0</v>
      </c>
      <c r="AY113" s="282">
        <f t="shared" si="371"/>
        <v>14</v>
      </c>
      <c r="AZ113" s="282">
        <f t="shared" si="372"/>
        <v>0</v>
      </c>
      <c r="BA113" s="282">
        <f t="shared" si="365"/>
        <v>0</v>
      </c>
      <c r="BB113" s="303"/>
      <c r="BC113" s="303"/>
      <c r="BD113" s="303"/>
      <c r="BE113" s="303"/>
      <c r="BF113" s="303"/>
      <c r="BG113" s="303"/>
      <c r="BH113" s="303"/>
      <c r="BI113" s="303"/>
      <c r="BJ113" s="336"/>
      <c r="BK113" s="122"/>
    </row>
    <row r="114" spans="1:63" s="101" customFormat="1" ht="24" thickBot="1">
      <c r="A114" s="96"/>
      <c r="B114" s="117"/>
      <c r="C114" s="100"/>
      <c r="D114" s="97"/>
      <c r="E114" s="99"/>
      <c r="F114" s="97"/>
      <c r="G114" s="173">
        <f>SUM(G110:G113)</f>
        <v>78.51285</v>
      </c>
      <c r="H114" s="173">
        <f>SUM(H110:H113)</f>
        <v>6374.8477152359992</v>
      </c>
      <c r="I114" s="177"/>
      <c r="J114" s="175">
        <f t="shared" ref="J114:Q114" si="373">SUM(J110:J113)</f>
        <v>3187.4238576179996</v>
      </c>
      <c r="K114" s="174">
        <f t="shared" si="373"/>
        <v>5</v>
      </c>
      <c r="L114" s="174">
        <f t="shared" si="373"/>
        <v>9.1999999999999993</v>
      </c>
      <c r="M114" s="175">
        <f t="shared" si="373"/>
        <v>318.74238576179999</v>
      </c>
      <c r="N114" s="175">
        <f t="shared" si="373"/>
        <v>187.79541700920007</v>
      </c>
      <c r="O114" s="175">
        <f t="shared" si="373"/>
        <v>7535.9976598874873</v>
      </c>
      <c r="P114" s="175">
        <f t="shared" si="373"/>
        <v>8719.0838200969101</v>
      </c>
      <c r="Q114" s="176">
        <f t="shared" si="373"/>
        <v>42.329460518541573</v>
      </c>
      <c r="R114" s="176">
        <f t="shared" si="354"/>
        <v>21.797709550242274</v>
      </c>
      <c r="S114" s="233"/>
      <c r="T114" s="233"/>
      <c r="U114" s="233"/>
      <c r="V114" s="233"/>
      <c r="W114" s="233"/>
      <c r="X114" s="233"/>
      <c r="Y114" s="97"/>
      <c r="Z114" s="97"/>
      <c r="AA114" s="97"/>
      <c r="AB114" s="97"/>
      <c r="AC114" s="98"/>
      <c r="AD114" s="98"/>
      <c r="AE114" s="98"/>
      <c r="AF114" s="98"/>
      <c r="AG114" s="98"/>
      <c r="AH114" s="98"/>
      <c r="AI114" s="98"/>
      <c r="AJ114" s="98"/>
      <c r="AK114" s="98"/>
      <c r="AL114" s="98"/>
      <c r="AM114" s="98"/>
      <c r="AN114" s="98"/>
      <c r="AO114" s="98"/>
      <c r="AP114" s="98"/>
      <c r="AQ114" s="98"/>
      <c r="AR114" s="98"/>
      <c r="AS114" s="98"/>
      <c r="AT114" s="98"/>
      <c r="AU114" s="98"/>
      <c r="AV114" s="98"/>
      <c r="AW114" s="283"/>
      <c r="AX114" s="283"/>
      <c r="AY114" s="283"/>
      <c r="AZ114" s="283"/>
      <c r="BA114" s="283"/>
      <c r="BB114" s="172"/>
      <c r="BC114" s="122"/>
      <c r="BJ114" s="254"/>
      <c r="BK114" s="122"/>
    </row>
    <row r="115" spans="1:63" s="193" customFormat="1" ht="24" thickBot="1">
      <c r="A115" s="183"/>
      <c r="B115" s="212">
        <v>15</v>
      </c>
      <c r="C115" s="185" t="s">
        <v>136</v>
      </c>
      <c r="D115" s="186"/>
      <c r="E115" s="187"/>
      <c r="F115" s="186"/>
      <c r="G115" s="188"/>
      <c r="H115" s="188"/>
      <c r="I115" s="186"/>
      <c r="J115" s="198"/>
      <c r="K115" s="199"/>
      <c r="L115" s="199"/>
      <c r="M115" s="198"/>
      <c r="N115" s="198"/>
      <c r="O115" s="200"/>
      <c r="P115" s="198"/>
      <c r="Q115" s="201"/>
      <c r="R115" s="201"/>
      <c r="S115" s="203"/>
      <c r="T115" s="203"/>
      <c r="U115" s="203"/>
      <c r="V115" s="203"/>
      <c r="W115" s="203"/>
      <c r="X115" s="203"/>
      <c r="Y115" s="186"/>
      <c r="Z115" s="186"/>
      <c r="AA115" s="186"/>
      <c r="AB115" s="186"/>
      <c r="AC115" s="189"/>
      <c r="AD115" s="189"/>
      <c r="AE115" s="189"/>
      <c r="AF115" s="189"/>
      <c r="AG115" s="189"/>
      <c r="AH115" s="189"/>
      <c r="AI115" s="189"/>
      <c r="AJ115" s="189"/>
      <c r="AK115" s="189"/>
      <c r="AL115" s="189"/>
      <c r="AM115" s="189"/>
      <c r="AN115" s="189"/>
      <c r="AO115" s="189"/>
      <c r="AP115" s="189"/>
      <c r="AQ115" s="189"/>
      <c r="AR115" s="189"/>
      <c r="AS115" s="189"/>
      <c r="AT115" s="189"/>
      <c r="AU115" s="189"/>
      <c r="AV115" s="189"/>
      <c r="AW115" s="281"/>
      <c r="AX115" s="281"/>
      <c r="AY115" s="281"/>
      <c r="AZ115" s="281"/>
      <c r="BA115" s="281"/>
      <c r="BB115" s="204"/>
      <c r="BC115" s="192"/>
      <c r="BJ115" s="255"/>
      <c r="BK115" s="192"/>
    </row>
    <row r="116" spans="1:63" s="101" customFormat="1" ht="15.75" thickBot="1">
      <c r="A116" s="90">
        <v>59</v>
      </c>
      <c r="B116" s="300" t="s">
        <v>151</v>
      </c>
      <c r="C116" s="106" t="s">
        <v>119</v>
      </c>
      <c r="D116" s="91">
        <v>4.5</v>
      </c>
      <c r="E116" s="94">
        <v>3.41</v>
      </c>
      <c r="F116" s="91">
        <v>7.5460000000000003</v>
      </c>
      <c r="G116" s="104">
        <f t="shared" ref="G116:G131" si="374">D116*E116</f>
        <v>15.345000000000001</v>
      </c>
      <c r="H116" s="104">
        <f>D116*E116*F116*10.76</f>
        <v>1245.9366612000001</v>
      </c>
      <c r="I116" s="91">
        <v>15</v>
      </c>
      <c r="J116" s="92">
        <f>H116*I116/60</f>
        <v>311.48416530000003</v>
      </c>
      <c r="K116" s="91">
        <v>1</v>
      </c>
      <c r="L116" s="91">
        <v>0</v>
      </c>
      <c r="M116" s="92">
        <f>J116*1</f>
        <v>311.48416530000003</v>
      </c>
      <c r="N116" s="92">
        <f>J116*1</f>
        <v>311.48416530000003</v>
      </c>
      <c r="O116" s="93">
        <v>0</v>
      </c>
      <c r="P116" s="92">
        <f t="shared" ref="P116:P131" si="375">MAX(J116,O116)*1.05</f>
        <v>327.05837356500007</v>
      </c>
      <c r="Q116" s="94">
        <v>0</v>
      </c>
      <c r="R116" s="94">
        <v>0</v>
      </c>
      <c r="S116" s="301">
        <f>CEILING(MAX(SUM(Q116:Q131),SUM(R116:R131)),0.5)</f>
        <v>0</v>
      </c>
      <c r="T116" s="304">
        <f>S116*2.4</f>
        <v>0</v>
      </c>
      <c r="U116" s="304">
        <f>T116*0.0630902</f>
        <v>0</v>
      </c>
      <c r="V116" s="304">
        <f>0.26*SQRT(T116)</f>
        <v>0</v>
      </c>
      <c r="W116" s="304">
        <f>CEILING(V116,0.5)</f>
        <v>0</v>
      </c>
      <c r="X116" s="304" t="s">
        <v>106</v>
      </c>
      <c r="Y116" s="91" t="s">
        <v>106</v>
      </c>
      <c r="Z116" s="91" t="s">
        <v>106</v>
      </c>
      <c r="AA116" s="91">
        <v>106</v>
      </c>
      <c r="AB116" s="91" t="s">
        <v>106</v>
      </c>
      <c r="AC116" s="92" t="e">
        <f t="shared" ref="AC116:AC131" si="376">(D116+E116)*2*10.76*F116*0.4*(AA116-AB116)</f>
        <v>#VALUE!</v>
      </c>
      <c r="AD116" s="92" t="e">
        <f t="shared" ref="AD116:AD131" si="377">(D116+E116)*2*10.76*F116*0.28*(AA116-AB116)</f>
        <v>#VALUE!</v>
      </c>
      <c r="AE116" s="92" t="e">
        <f t="shared" ref="AE116:AE131" si="378">D116*E116*0.4*10.76*(AA116-AB116)</f>
        <v>#VALUE!</v>
      </c>
      <c r="AF116" s="92" t="e">
        <f t="shared" ref="AF116:AF131" si="379">D116*E116*0.4*10.76*(AA116-AB116)</f>
        <v>#VALUE!</v>
      </c>
      <c r="AG116" s="92">
        <f t="shared" ref="AG116:AG131" si="380">D116*E116*1.75*10.76</f>
        <v>288.94635</v>
      </c>
      <c r="AH116" s="92" t="e">
        <f t="shared" ref="AH116:AH131" si="381">L116*(3.5/2)*1.08*0.88*(AA116-AB116)*1000</f>
        <v>#VALUE!</v>
      </c>
      <c r="AI116" s="92">
        <f t="shared" ref="AI116:AI131" si="382">K116*285</f>
        <v>285</v>
      </c>
      <c r="AJ116" s="92" t="e">
        <f t="shared" ref="AJ116:AJ131" si="383">(M116+N116)*0.12*1.08*(AA116-AB116)</f>
        <v>#VALUE!</v>
      </c>
      <c r="AK116" s="92" t="e">
        <f t="shared" ref="AK116:AK131" si="384">(AC116+AD116+AE116+AF116)*0+AG116+AH116+AI116+AJ116</f>
        <v>#VALUE!</v>
      </c>
      <c r="AL116" s="92" t="e">
        <f t="shared" ref="AL116:AL131" si="385">AK116*1</f>
        <v>#VALUE!</v>
      </c>
      <c r="AM116" s="92">
        <f t="shared" ref="AM116:AM131" si="386">K116*215</f>
        <v>215</v>
      </c>
      <c r="AN116" s="92" t="e">
        <f t="shared" ref="AN116:AN131" si="387">(M116+N116)*0.68*0.12*(AA116-AB116)</f>
        <v>#VALUE!</v>
      </c>
      <c r="AO116" s="92" t="e">
        <f t="shared" ref="AO116:AO131" si="388">(AM116+AN116)*1</f>
        <v>#VALUE!</v>
      </c>
      <c r="AP116" s="92" t="e">
        <f t="shared" ref="AP116:AP131" si="389">AO116+AL116</f>
        <v>#VALUE!</v>
      </c>
      <c r="AQ116" s="92" t="e">
        <f t="shared" ref="AQ116:AQ131" si="390">(M116+N116)*0.88*1.08*(AA116-AB116)</f>
        <v>#VALUE!</v>
      </c>
      <c r="AR116" s="92">
        <f t="shared" ref="AR116:AR131" si="391">(M116+N116)*0.88*0.68*90</f>
        <v>33550.582412793607</v>
      </c>
      <c r="AS116" s="92" t="e">
        <f t="shared" ref="AS116:AS131" si="392">AL116+AO116+AQ116+AR116</f>
        <v>#VALUE!</v>
      </c>
      <c r="AT116" s="92" t="e">
        <f t="shared" ref="AT116:AT131" si="393">AS116/12000</f>
        <v>#VALUE!</v>
      </c>
      <c r="AU116" s="92">
        <v>49</v>
      </c>
      <c r="AV116" s="92" t="e">
        <f t="shared" ref="AV116:AV131" si="394">AL116/(1.08*(AA116-AU116))</f>
        <v>#VALUE!</v>
      </c>
      <c r="AW116" s="282">
        <v>5</v>
      </c>
      <c r="AX116" s="282">
        <f>CEILING(IF(AW116=5,P116*1/350,(IF(AWB116=20,P116*1/350,0))),2)</f>
        <v>2</v>
      </c>
      <c r="AY116" s="282">
        <f t="shared" ref="AY116" si="395">CEILING(IF(AW116=100000,P116*1/250,0),2)</f>
        <v>0</v>
      </c>
      <c r="AZ116" s="282">
        <f t="shared" ref="AZ116" si="396">CEILING(IF(AW116=10000,P116*1/225,(IF(AWB116=10000,P116*1/225,0))),2)</f>
        <v>0</v>
      </c>
      <c r="BA116" s="282">
        <f t="shared" ref="BA116" si="397">CEILING(IF(AW116=1000,P116*1/100,(IF(AWB116=100,P116*1/100,0))),2)</f>
        <v>0</v>
      </c>
      <c r="BB116" s="302">
        <f>CEILING(SUM(P116:P131),50)</f>
        <v>17150</v>
      </c>
      <c r="BC116" s="302">
        <v>90</v>
      </c>
      <c r="BD116" s="302"/>
      <c r="BE116" s="302">
        <v>15</v>
      </c>
      <c r="BF116" s="302">
        <f>CEILING(N132, 25)</f>
        <v>16350</v>
      </c>
      <c r="BG116" s="302">
        <v>50</v>
      </c>
      <c r="BH116" s="302"/>
      <c r="BI116" s="302">
        <v>10</v>
      </c>
      <c r="BJ116" s="338">
        <f>BE116*(750/1000)+S116*0.8+BI116*(750/1000)</f>
        <v>18.75</v>
      </c>
      <c r="BK116" s="122"/>
    </row>
    <row r="117" spans="1:63" s="101" customFormat="1" ht="15.75" thickBot="1">
      <c r="A117" s="90">
        <v>60</v>
      </c>
      <c r="B117" s="300"/>
      <c r="C117" s="106" t="s">
        <v>145</v>
      </c>
      <c r="D117" s="91">
        <v>4</v>
      </c>
      <c r="E117" s="94">
        <v>5.44</v>
      </c>
      <c r="F117" s="91">
        <v>7.5460000000000003</v>
      </c>
      <c r="G117" s="104">
        <f t="shared" si="374"/>
        <v>21.76</v>
      </c>
      <c r="H117" s="104">
        <f t="shared" ref="H117:H131" si="398">D117*E117*F117*10.76</f>
        <v>1766.8023296000001</v>
      </c>
      <c r="I117" s="91">
        <v>15</v>
      </c>
      <c r="J117" s="92">
        <f t="shared" ref="J117:J131" si="399">H117*I117/60</f>
        <v>441.70058240000003</v>
      </c>
      <c r="K117" s="91">
        <v>1</v>
      </c>
      <c r="L117" s="91">
        <v>0</v>
      </c>
      <c r="M117" s="92">
        <f t="shared" ref="M117:M131" si="400">J117*1</f>
        <v>441.70058240000003</v>
      </c>
      <c r="N117" s="92">
        <f t="shared" ref="N117:N131" si="401">J117*1</f>
        <v>441.70058240000003</v>
      </c>
      <c r="O117" s="93">
        <v>0</v>
      </c>
      <c r="P117" s="92">
        <f t="shared" si="375"/>
        <v>463.78561152000003</v>
      </c>
      <c r="Q117" s="94">
        <v>0</v>
      </c>
      <c r="R117" s="94">
        <v>0</v>
      </c>
      <c r="S117" s="301"/>
      <c r="T117" s="297"/>
      <c r="U117" s="297"/>
      <c r="V117" s="297"/>
      <c r="W117" s="297"/>
      <c r="X117" s="297"/>
      <c r="Y117" s="91" t="s">
        <v>106</v>
      </c>
      <c r="Z117" s="91" t="s">
        <v>106</v>
      </c>
      <c r="AA117" s="91">
        <v>106</v>
      </c>
      <c r="AB117" s="91" t="s">
        <v>106</v>
      </c>
      <c r="AC117" s="92" t="e">
        <f t="shared" si="376"/>
        <v>#VALUE!</v>
      </c>
      <c r="AD117" s="92" t="e">
        <f t="shared" si="377"/>
        <v>#VALUE!</v>
      </c>
      <c r="AE117" s="92" t="e">
        <f t="shared" si="378"/>
        <v>#VALUE!</v>
      </c>
      <c r="AF117" s="92" t="e">
        <f t="shared" si="379"/>
        <v>#VALUE!</v>
      </c>
      <c r="AG117" s="92">
        <f t="shared" si="380"/>
        <v>409.74080000000004</v>
      </c>
      <c r="AH117" s="92" t="e">
        <f t="shared" si="381"/>
        <v>#VALUE!</v>
      </c>
      <c r="AI117" s="92">
        <f t="shared" si="382"/>
        <v>285</v>
      </c>
      <c r="AJ117" s="92" t="e">
        <f t="shared" si="383"/>
        <v>#VALUE!</v>
      </c>
      <c r="AK117" s="92" t="e">
        <f t="shared" si="384"/>
        <v>#VALUE!</v>
      </c>
      <c r="AL117" s="92" t="e">
        <f t="shared" si="385"/>
        <v>#VALUE!</v>
      </c>
      <c r="AM117" s="92">
        <f t="shared" si="386"/>
        <v>215</v>
      </c>
      <c r="AN117" s="92" t="e">
        <f t="shared" si="387"/>
        <v>#VALUE!</v>
      </c>
      <c r="AO117" s="92" t="e">
        <f t="shared" si="388"/>
        <v>#VALUE!</v>
      </c>
      <c r="AP117" s="92" t="e">
        <f t="shared" si="389"/>
        <v>#VALUE!</v>
      </c>
      <c r="AQ117" s="92" t="e">
        <f t="shared" si="390"/>
        <v>#VALUE!</v>
      </c>
      <c r="AR117" s="92">
        <f t="shared" si="391"/>
        <v>47576.453131468807</v>
      </c>
      <c r="AS117" s="92" t="e">
        <f t="shared" si="392"/>
        <v>#VALUE!</v>
      </c>
      <c r="AT117" s="92" t="e">
        <f t="shared" si="393"/>
        <v>#VALUE!</v>
      </c>
      <c r="AU117" s="92">
        <v>49</v>
      </c>
      <c r="AV117" s="92" t="e">
        <f t="shared" si="394"/>
        <v>#VALUE!</v>
      </c>
      <c r="AW117" s="282">
        <v>5</v>
      </c>
      <c r="AX117" s="282">
        <f t="shared" ref="AX117:AX131" si="402">CEILING(IF(AW117=5,P117*1/350,(IF(AWB117=20,P117*1/350,0))),2)</f>
        <v>2</v>
      </c>
      <c r="AY117" s="282">
        <f t="shared" ref="AY117:AY131" si="403">CEILING(IF(AW117=100000,P117*1/250,0),2)</f>
        <v>0</v>
      </c>
      <c r="AZ117" s="282">
        <f t="shared" ref="AZ117:AZ131" si="404">CEILING(IF(AW117=10000,P117*1/225,(IF(AWB117=10000,P117*1/225,0))),2)</f>
        <v>0</v>
      </c>
      <c r="BA117" s="282">
        <f t="shared" ref="BA117:BA131" si="405">CEILING(IF(AW117=1000,P117*1/100,(IF(AWB117=100,P117*1/100,0))),2)</f>
        <v>0</v>
      </c>
      <c r="BB117" s="302"/>
      <c r="BC117" s="302"/>
      <c r="BD117" s="302"/>
      <c r="BE117" s="302"/>
      <c r="BF117" s="302"/>
      <c r="BG117" s="302"/>
      <c r="BH117" s="302"/>
      <c r="BI117" s="302"/>
      <c r="BJ117" s="338"/>
      <c r="BK117" s="122"/>
    </row>
    <row r="118" spans="1:63" s="101" customFormat="1" ht="15.75" thickBot="1">
      <c r="A118" s="90">
        <v>61</v>
      </c>
      <c r="B118" s="300"/>
      <c r="C118" s="106" t="s">
        <v>105</v>
      </c>
      <c r="D118" s="91">
        <v>4</v>
      </c>
      <c r="E118" s="94">
        <v>1.776</v>
      </c>
      <c r="F118" s="91">
        <v>7.5460000000000003</v>
      </c>
      <c r="G118" s="104">
        <f t="shared" si="374"/>
        <v>7.1040000000000001</v>
      </c>
      <c r="H118" s="104">
        <f t="shared" si="398"/>
        <v>576.80899584000008</v>
      </c>
      <c r="I118" s="91">
        <v>15</v>
      </c>
      <c r="J118" s="92">
        <f t="shared" si="399"/>
        <v>144.20224896000002</v>
      </c>
      <c r="K118" s="91">
        <v>1</v>
      </c>
      <c r="L118" s="91">
        <v>0</v>
      </c>
      <c r="M118" s="92">
        <f t="shared" si="400"/>
        <v>144.20224896000002</v>
      </c>
      <c r="N118" s="92">
        <f t="shared" si="401"/>
        <v>144.20224896000002</v>
      </c>
      <c r="O118" s="93">
        <v>0</v>
      </c>
      <c r="P118" s="92">
        <f t="shared" si="375"/>
        <v>151.41236140800004</v>
      </c>
      <c r="Q118" s="94">
        <v>0</v>
      </c>
      <c r="R118" s="94">
        <v>0</v>
      </c>
      <c r="S118" s="301"/>
      <c r="T118" s="297"/>
      <c r="U118" s="297"/>
      <c r="V118" s="297"/>
      <c r="W118" s="297"/>
      <c r="X118" s="297"/>
      <c r="Y118" s="91" t="s">
        <v>106</v>
      </c>
      <c r="Z118" s="91" t="s">
        <v>106</v>
      </c>
      <c r="AA118" s="91">
        <v>106</v>
      </c>
      <c r="AB118" s="91" t="s">
        <v>106</v>
      </c>
      <c r="AC118" s="92" t="e">
        <f t="shared" si="376"/>
        <v>#VALUE!</v>
      </c>
      <c r="AD118" s="92" t="e">
        <f t="shared" si="377"/>
        <v>#VALUE!</v>
      </c>
      <c r="AE118" s="92" t="e">
        <f t="shared" si="378"/>
        <v>#VALUE!</v>
      </c>
      <c r="AF118" s="92" t="e">
        <f t="shared" si="379"/>
        <v>#VALUE!</v>
      </c>
      <c r="AG118" s="92">
        <f t="shared" si="380"/>
        <v>133.76831999999999</v>
      </c>
      <c r="AH118" s="92" t="e">
        <f t="shared" si="381"/>
        <v>#VALUE!</v>
      </c>
      <c r="AI118" s="92">
        <f t="shared" si="382"/>
        <v>285</v>
      </c>
      <c r="AJ118" s="92" t="e">
        <f t="shared" si="383"/>
        <v>#VALUE!</v>
      </c>
      <c r="AK118" s="92" t="e">
        <f t="shared" si="384"/>
        <v>#VALUE!</v>
      </c>
      <c r="AL118" s="92" t="e">
        <f t="shared" si="385"/>
        <v>#VALUE!</v>
      </c>
      <c r="AM118" s="92">
        <f t="shared" si="386"/>
        <v>215</v>
      </c>
      <c r="AN118" s="92" t="e">
        <f t="shared" si="387"/>
        <v>#VALUE!</v>
      </c>
      <c r="AO118" s="92" t="e">
        <f t="shared" si="388"/>
        <v>#VALUE!</v>
      </c>
      <c r="AP118" s="92" t="e">
        <f t="shared" si="389"/>
        <v>#VALUE!</v>
      </c>
      <c r="AQ118" s="92" t="e">
        <f t="shared" si="390"/>
        <v>#VALUE!</v>
      </c>
      <c r="AR118" s="92">
        <f t="shared" si="391"/>
        <v>15532.312639979524</v>
      </c>
      <c r="AS118" s="92" t="e">
        <f t="shared" si="392"/>
        <v>#VALUE!</v>
      </c>
      <c r="AT118" s="92" t="e">
        <f t="shared" si="393"/>
        <v>#VALUE!</v>
      </c>
      <c r="AU118" s="92">
        <v>49</v>
      </c>
      <c r="AV118" s="92" t="e">
        <f t="shared" si="394"/>
        <v>#VALUE!</v>
      </c>
      <c r="AW118" s="282">
        <v>5</v>
      </c>
      <c r="AX118" s="282">
        <f t="shared" si="402"/>
        <v>2</v>
      </c>
      <c r="AY118" s="282">
        <f t="shared" si="403"/>
        <v>0</v>
      </c>
      <c r="AZ118" s="282">
        <f t="shared" si="404"/>
        <v>0</v>
      </c>
      <c r="BA118" s="282">
        <f t="shared" si="405"/>
        <v>0</v>
      </c>
      <c r="BB118" s="302"/>
      <c r="BC118" s="302"/>
      <c r="BD118" s="302"/>
      <c r="BE118" s="302"/>
      <c r="BF118" s="302"/>
      <c r="BG118" s="302"/>
      <c r="BH118" s="302"/>
      <c r="BI118" s="302"/>
      <c r="BJ118" s="338"/>
      <c r="BK118" s="122"/>
    </row>
    <row r="119" spans="1:63" s="101" customFormat="1" ht="15.75" thickBot="1">
      <c r="A119" s="90">
        <v>62</v>
      </c>
      <c r="B119" s="300"/>
      <c r="C119" s="106" t="s">
        <v>100</v>
      </c>
      <c r="D119" s="91">
        <v>2</v>
      </c>
      <c r="E119" s="94">
        <v>2</v>
      </c>
      <c r="F119" s="91">
        <v>7.5460000000000003</v>
      </c>
      <c r="G119" s="104">
        <f t="shared" si="374"/>
        <v>4</v>
      </c>
      <c r="H119" s="104">
        <f t="shared" si="398"/>
        <v>324.77983999999998</v>
      </c>
      <c r="I119" s="91">
        <v>15</v>
      </c>
      <c r="J119" s="92">
        <f t="shared" si="399"/>
        <v>81.194959999999995</v>
      </c>
      <c r="K119" s="91">
        <v>1</v>
      </c>
      <c r="L119" s="91">
        <v>5</v>
      </c>
      <c r="M119" s="92">
        <f t="shared" si="400"/>
        <v>81.194959999999995</v>
      </c>
      <c r="N119" s="92">
        <f t="shared" si="401"/>
        <v>81.194959999999995</v>
      </c>
      <c r="O119" s="93">
        <v>0</v>
      </c>
      <c r="P119" s="92">
        <f t="shared" si="375"/>
        <v>85.254707999999994</v>
      </c>
      <c r="Q119" s="94">
        <v>0</v>
      </c>
      <c r="R119" s="94">
        <v>0</v>
      </c>
      <c r="S119" s="301"/>
      <c r="T119" s="297"/>
      <c r="U119" s="297"/>
      <c r="V119" s="297"/>
      <c r="W119" s="297"/>
      <c r="X119" s="297"/>
      <c r="Y119" s="91" t="s">
        <v>106</v>
      </c>
      <c r="Z119" s="91" t="s">
        <v>106</v>
      </c>
      <c r="AA119" s="91">
        <v>106</v>
      </c>
      <c r="AB119" s="91" t="s">
        <v>106</v>
      </c>
      <c r="AC119" s="92" t="e">
        <f t="shared" si="376"/>
        <v>#VALUE!</v>
      </c>
      <c r="AD119" s="92" t="e">
        <f t="shared" si="377"/>
        <v>#VALUE!</v>
      </c>
      <c r="AE119" s="92" t="e">
        <f t="shared" si="378"/>
        <v>#VALUE!</v>
      </c>
      <c r="AF119" s="92" t="e">
        <f t="shared" si="379"/>
        <v>#VALUE!</v>
      </c>
      <c r="AG119" s="92">
        <f t="shared" si="380"/>
        <v>75.319999999999993</v>
      </c>
      <c r="AH119" s="92" t="e">
        <f t="shared" si="381"/>
        <v>#VALUE!</v>
      </c>
      <c r="AI119" s="92">
        <f t="shared" si="382"/>
        <v>285</v>
      </c>
      <c r="AJ119" s="92" t="e">
        <f t="shared" si="383"/>
        <v>#VALUE!</v>
      </c>
      <c r="AK119" s="92" t="e">
        <f t="shared" si="384"/>
        <v>#VALUE!</v>
      </c>
      <c r="AL119" s="92" t="e">
        <f t="shared" si="385"/>
        <v>#VALUE!</v>
      </c>
      <c r="AM119" s="92">
        <f t="shared" si="386"/>
        <v>215</v>
      </c>
      <c r="AN119" s="92" t="e">
        <f t="shared" si="387"/>
        <v>#VALUE!</v>
      </c>
      <c r="AO119" s="92" t="e">
        <f t="shared" si="388"/>
        <v>#VALUE!</v>
      </c>
      <c r="AP119" s="92" t="e">
        <f t="shared" si="389"/>
        <v>#VALUE!</v>
      </c>
      <c r="AQ119" s="92" t="e">
        <f t="shared" si="390"/>
        <v>#VALUE!</v>
      </c>
      <c r="AR119" s="92">
        <f t="shared" si="391"/>
        <v>8745.6715315199999</v>
      </c>
      <c r="AS119" s="92" t="e">
        <f t="shared" si="392"/>
        <v>#VALUE!</v>
      </c>
      <c r="AT119" s="92" t="e">
        <f t="shared" si="393"/>
        <v>#VALUE!</v>
      </c>
      <c r="AU119" s="92">
        <v>49</v>
      </c>
      <c r="AV119" s="92" t="e">
        <f t="shared" si="394"/>
        <v>#VALUE!</v>
      </c>
      <c r="AW119" s="282">
        <v>5</v>
      </c>
      <c r="AX119" s="282">
        <f t="shared" si="402"/>
        <v>2</v>
      </c>
      <c r="AY119" s="282">
        <f t="shared" si="403"/>
        <v>0</v>
      </c>
      <c r="AZ119" s="282">
        <f t="shared" si="404"/>
        <v>0</v>
      </c>
      <c r="BA119" s="282">
        <f t="shared" si="405"/>
        <v>0</v>
      </c>
      <c r="BB119" s="302"/>
      <c r="BC119" s="302"/>
      <c r="BD119" s="302"/>
      <c r="BE119" s="302"/>
      <c r="BF119" s="302"/>
      <c r="BG119" s="302"/>
      <c r="BH119" s="302"/>
      <c r="BI119" s="302"/>
      <c r="BJ119" s="338"/>
      <c r="BK119" s="122"/>
    </row>
    <row r="120" spans="1:63" s="101" customFormat="1" ht="15.75" thickBot="1">
      <c r="A120" s="90">
        <v>63</v>
      </c>
      <c r="B120" s="300"/>
      <c r="C120" s="106" t="s">
        <v>131</v>
      </c>
      <c r="D120" s="91">
        <v>2</v>
      </c>
      <c r="E120" s="94">
        <v>1.8</v>
      </c>
      <c r="F120" s="91">
        <v>7.5460000000000003</v>
      </c>
      <c r="G120" s="104">
        <f t="shared" si="374"/>
        <v>3.6</v>
      </c>
      <c r="H120" s="104">
        <f t="shared" si="398"/>
        <v>292.30185599999999</v>
      </c>
      <c r="I120" s="91">
        <v>15</v>
      </c>
      <c r="J120" s="92">
        <f t="shared" si="399"/>
        <v>73.075463999999997</v>
      </c>
      <c r="K120" s="91">
        <v>1</v>
      </c>
      <c r="L120" s="91">
        <v>0</v>
      </c>
      <c r="M120" s="92">
        <f t="shared" si="400"/>
        <v>73.075463999999997</v>
      </c>
      <c r="N120" s="92">
        <f t="shared" si="401"/>
        <v>73.075463999999997</v>
      </c>
      <c r="O120" s="93">
        <v>0</v>
      </c>
      <c r="P120" s="92">
        <f t="shared" si="375"/>
        <v>76.7292372</v>
      </c>
      <c r="Q120" s="94">
        <v>0</v>
      </c>
      <c r="R120" s="94">
        <v>0</v>
      </c>
      <c r="S120" s="301"/>
      <c r="T120" s="297"/>
      <c r="U120" s="297"/>
      <c r="V120" s="297"/>
      <c r="W120" s="297"/>
      <c r="X120" s="297"/>
      <c r="Y120" s="91" t="s">
        <v>106</v>
      </c>
      <c r="Z120" s="91" t="s">
        <v>106</v>
      </c>
      <c r="AA120" s="91">
        <v>106</v>
      </c>
      <c r="AB120" s="91" t="s">
        <v>106</v>
      </c>
      <c r="AC120" s="92" t="e">
        <f t="shared" si="376"/>
        <v>#VALUE!</v>
      </c>
      <c r="AD120" s="92" t="e">
        <f t="shared" si="377"/>
        <v>#VALUE!</v>
      </c>
      <c r="AE120" s="92" t="e">
        <f t="shared" si="378"/>
        <v>#VALUE!</v>
      </c>
      <c r="AF120" s="92" t="e">
        <f t="shared" si="379"/>
        <v>#VALUE!</v>
      </c>
      <c r="AG120" s="92">
        <f t="shared" si="380"/>
        <v>67.787999999999997</v>
      </c>
      <c r="AH120" s="92" t="e">
        <f t="shared" si="381"/>
        <v>#VALUE!</v>
      </c>
      <c r="AI120" s="92">
        <f t="shared" si="382"/>
        <v>285</v>
      </c>
      <c r="AJ120" s="92" t="e">
        <f t="shared" si="383"/>
        <v>#VALUE!</v>
      </c>
      <c r="AK120" s="92" t="e">
        <f t="shared" si="384"/>
        <v>#VALUE!</v>
      </c>
      <c r="AL120" s="92" t="e">
        <f t="shared" si="385"/>
        <v>#VALUE!</v>
      </c>
      <c r="AM120" s="92">
        <f t="shared" si="386"/>
        <v>215</v>
      </c>
      <c r="AN120" s="92" t="e">
        <f t="shared" si="387"/>
        <v>#VALUE!</v>
      </c>
      <c r="AO120" s="92" t="e">
        <f t="shared" si="388"/>
        <v>#VALUE!</v>
      </c>
      <c r="AP120" s="92" t="e">
        <f t="shared" si="389"/>
        <v>#VALUE!</v>
      </c>
      <c r="AQ120" s="92" t="e">
        <f t="shared" si="390"/>
        <v>#VALUE!</v>
      </c>
      <c r="AR120" s="92">
        <f t="shared" si="391"/>
        <v>7871.1043783680016</v>
      </c>
      <c r="AS120" s="92" t="e">
        <f t="shared" si="392"/>
        <v>#VALUE!</v>
      </c>
      <c r="AT120" s="92" t="e">
        <f t="shared" si="393"/>
        <v>#VALUE!</v>
      </c>
      <c r="AU120" s="92">
        <v>49</v>
      </c>
      <c r="AV120" s="92" t="e">
        <f t="shared" si="394"/>
        <v>#VALUE!</v>
      </c>
      <c r="AW120" s="282">
        <v>5</v>
      </c>
      <c r="AX120" s="282">
        <f t="shared" si="402"/>
        <v>2</v>
      </c>
      <c r="AY120" s="282">
        <f t="shared" si="403"/>
        <v>0</v>
      </c>
      <c r="AZ120" s="282">
        <f t="shared" si="404"/>
        <v>0</v>
      </c>
      <c r="BA120" s="282">
        <f t="shared" si="405"/>
        <v>0</v>
      </c>
      <c r="BB120" s="302"/>
      <c r="BC120" s="302"/>
      <c r="BD120" s="302"/>
      <c r="BE120" s="302"/>
      <c r="BF120" s="302"/>
      <c r="BG120" s="302"/>
      <c r="BH120" s="302"/>
      <c r="BI120" s="302"/>
      <c r="BJ120" s="338"/>
      <c r="BK120" s="122"/>
    </row>
    <row r="121" spans="1:63" s="101" customFormat="1" ht="15.75" thickBot="1">
      <c r="A121" s="90">
        <v>64</v>
      </c>
      <c r="B121" s="300"/>
      <c r="C121" s="106" t="s">
        <v>152</v>
      </c>
      <c r="D121" s="91">
        <v>18.536999999999999</v>
      </c>
      <c r="E121" s="94">
        <v>9.61</v>
      </c>
      <c r="F121" s="91">
        <v>10.991</v>
      </c>
      <c r="G121" s="104">
        <f t="shared" si="374"/>
        <v>178.14056999999997</v>
      </c>
      <c r="H121" s="104">
        <f t="shared" si="398"/>
        <v>21067.466732401197</v>
      </c>
      <c r="I121" s="91">
        <v>15</v>
      </c>
      <c r="J121" s="92">
        <f t="shared" si="399"/>
        <v>5266.8666831003002</v>
      </c>
      <c r="K121" s="91">
        <v>1</v>
      </c>
      <c r="L121" s="91">
        <v>0</v>
      </c>
      <c r="M121" s="92">
        <f t="shared" si="400"/>
        <v>5266.8666831003002</v>
      </c>
      <c r="N121" s="92">
        <f t="shared" si="401"/>
        <v>5266.8666831003002</v>
      </c>
      <c r="O121" s="93">
        <v>0</v>
      </c>
      <c r="P121" s="92">
        <f t="shared" si="375"/>
        <v>5530.2100172553155</v>
      </c>
      <c r="Q121" s="94">
        <v>0</v>
      </c>
      <c r="R121" s="94">
        <v>0</v>
      </c>
      <c r="S121" s="301"/>
      <c r="T121" s="297"/>
      <c r="U121" s="297"/>
      <c r="V121" s="297"/>
      <c r="W121" s="297"/>
      <c r="X121" s="297"/>
      <c r="Y121" s="91" t="s">
        <v>106</v>
      </c>
      <c r="Z121" s="91" t="s">
        <v>106</v>
      </c>
      <c r="AA121" s="91">
        <v>106</v>
      </c>
      <c r="AB121" s="91" t="s">
        <v>106</v>
      </c>
      <c r="AC121" s="92" t="e">
        <f t="shared" si="376"/>
        <v>#VALUE!</v>
      </c>
      <c r="AD121" s="92" t="e">
        <f t="shared" si="377"/>
        <v>#VALUE!</v>
      </c>
      <c r="AE121" s="92" t="e">
        <f t="shared" si="378"/>
        <v>#VALUE!</v>
      </c>
      <c r="AF121" s="92" t="e">
        <f t="shared" si="379"/>
        <v>#VALUE!</v>
      </c>
      <c r="AG121" s="92">
        <f t="shared" si="380"/>
        <v>3354.3869330999992</v>
      </c>
      <c r="AH121" s="92" t="e">
        <f t="shared" si="381"/>
        <v>#VALUE!</v>
      </c>
      <c r="AI121" s="92">
        <f t="shared" si="382"/>
        <v>285</v>
      </c>
      <c r="AJ121" s="92" t="e">
        <f t="shared" si="383"/>
        <v>#VALUE!</v>
      </c>
      <c r="AK121" s="92" t="e">
        <f t="shared" si="384"/>
        <v>#VALUE!</v>
      </c>
      <c r="AL121" s="92" t="e">
        <f t="shared" si="385"/>
        <v>#VALUE!</v>
      </c>
      <c r="AM121" s="92">
        <f t="shared" si="386"/>
        <v>215</v>
      </c>
      <c r="AN121" s="92" t="e">
        <f t="shared" si="387"/>
        <v>#VALUE!</v>
      </c>
      <c r="AO121" s="92" t="e">
        <f t="shared" si="388"/>
        <v>#VALUE!</v>
      </c>
      <c r="AP121" s="92" t="e">
        <f t="shared" si="389"/>
        <v>#VALUE!</v>
      </c>
      <c r="AQ121" s="92" t="e">
        <f t="shared" si="390"/>
        <v>#VALUE!</v>
      </c>
      <c r="AR121" s="92">
        <f t="shared" si="391"/>
        <v>567304.74417009961</v>
      </c>
      <c r="AS121" s="92" t="e">
        <f t="shared" si="392"/>
        <v>#VALUE!</v>
      </c>
      <c r="AT121" s="92" t="e">
        <f t="shared" si="393"/>
        <v>#VALUE!</v>
      </c>
      <c r="AU121" s="92">
        <v>49</v>
      </c>
      <c r="AV121" s="92" t="e">
        <f t="shared" si="394"/>
        <v>#VALUE!</v>
      </c>
      <c r="AW121" s="282">
        <v>5</v>
      </c>
      <c r="AX121" s="282">
        <f t="shared" si="402"/>
        <v>16</v>
      </c>
      <c r="AY121" s="282">
        <f t="shared" si="403"/>
        <v>0</v>
      </c>
      <c r="AZ121" s="282">
        <f t="shared" si="404"/>
        <v>0</v>
      </c>
      <c r="BA121" s="282">
        <f t="shared" si="405"/>
        <v>0</v>
      </c>
      <c r="BB121" s="302"/>
      <c r="BC121" s="302"/>
      <c r="BD121" s="302"/>
      <c r="BE121" s="302"/>
      <c r="BF121" s="302"/>
      <c r="BG121" s="302"/>
      <c r="BH121" s="302"/>
      <c r="BI121" s="302"/>
      <c r="BJ121" s="338"/>
      <c r="BK121" s="122"/>
    </row>
    <row r="122" spans="1:63" s="101" customFormat="1" ht="15.75" thickBot="1">
      <c r="A122" s="90">
        <v>64</v>
      </c>
      <c r="B122" s="300"/>
      <c r="C122" s="106" t="s">
        <v>152</v>
      </c>
      <c r="D122" s="91">
        <v>12.4</v>
      </c>
      <c r="E122" s="94">
        <v>4.2450000000000001</v>
      </c>
      <c r="F122" s="91">
        <v>10.991</v>
      </c>
      <c r="G122" s="104">
        <f t="shared" si="374"/>
        <v>52.638000000000005</v>
      </c>
      <c r="H122" s="104">
        <f t="shared" si="398"/>
        <v>6225.1362160799999</v>
      </c>
      <c r="I122" s="91">
        <v>15</v>
      </c>
      <c r="J122" s="92">
        <f t="shared" si="399"/>
        <v>1556.28405402</v>
      </c>
      <c r="K122" s="91">
        <v>1</v>
      </c>
      <c r="L122" s="91">
        <v>0</v>
      </c>
      <c r="M122" s="92">
        <f t="shared" si="400"/>
        <v>1556.28405402</v>
      </c>
      <c r="N122" s="92">
        <f t="shared" si="401"/>
        <v>1556.28405402</v>
      </c>
      <c r="O122" s="93">
        <v>0</v>
      </c>
      <c r="P122" s="92">
        <f t="shared" si="375"/>
        <v>1634.0982567210001</v>
      </c>
      <c r="Q122" s="94">
        <v>0</v>
      </c>
      <c r="R122" s="94">
        <v>0</v>
      </c>
      <c r="S122" s="301"/>
      <c r="T122" s="297"/>
      <c r="U122" s="297"/>
      <c r="V122" s="297"/>
      <c r="W122" s="297"/>
      <c r="X122" s="297"/>
      <c r="Y122" s="91" t="s">
        <v>106</v>
      </c>
      <c r="Z122" s="91" t="s">
        <v>106</v>
      </c>
      <c r="AA122" s="91">
        <v>106</v>
      </c>
      <c r="AB122" s="91" t="s">
        <v>106</v>
      </c>
      <c r="AC122" s="92" t="e">
        <f t="shared" si="376"/>
        <v>#VALUE!</v>
      </c>
      <c r="AD122" s="92" t="e">
        <f t="shared" si="377"/>
        <v>#VALUE!</v>
      </c>
      <c r="AE122" s="92" t="e">
        <f t="shared" si="378"/>
        <v>#VALUE!</v>
      </c>
      <c r="AF122" s="92" t="e">
        <f t="shared" si="379"/>
        <v>#VALUE!</v>
      </c>
      <c r="AG122" s="92">
        <f t="shared" si="380"/>
        <v>991.17354</v>
      </c>
      <c r="AH122" s="92" t="e">
        <f t="shared" si="381"/>
        <v>#VALUE!</v>
      </c>
      <c r="AI122" s="92">
        <f t="shared" si="382"/>
        <v>285</v>
      </c>
      <c r="AJ122" s="92" t="e">
        <f t="shared" si="383"/>
        <v>#VALUE!</v>
      </c>
      <c r="AK122" s="92" t="e">
        <f t="shared" si="384"/>
        <v>#VALUE!</v>
      </c>
      <c r="AL122" s="92" t="e">
        <f t="shared" si="385"/>
        <v>#VALUE!</v>
      </c>
      <c r="AM122" s="92">
        <f t="shared" si="386"/>
        <v>215</v>
      </c>
      <c r="AN122" s="92" t="e">
        <f t="shared" si="387"/>
        <v>#VALUE!</v>
      </c>
      <c r="AO122" s="92" t="e">
        <f t="shared" si="388"/>
        <v>#VALUE!</v>
      </c>
      <c r="AP122" s="92" t="e">
        <f t="shared" si="389"/>
        <v>#VALUE!</v>
      </c>
      <c r="AQ122" s="92" t="e">
        <f t="shared" si="390"/>
        <v>#VALUE!</v>
      </c>
      <c r="AR122" s="92">
        <f t="shared" si="391"/>
        <v>167630.46802660223</v>
      </c>
      <c r="AS122" s="92" t="e">
        <f t="shared" si="392"/>
        <v>#VALUE!</v>
      </c>
      <c r="AT122" s="92" t="e">
        <f t="shared" si="393"/>
        <v>#VALUE!</v>
      </c>
      <c r="AU122" s="92">
        <v>49</v>
      </c>
      <c r="AV122" s="92" t="e">
        <f t="shared" si="394"/>
        <v>#VALUE!</v>
      </c>
      <c r="AW122" s="282">
        <v>5</v>
      </c>
      <c r="AX122" s="282">
        <f t="shared" si="402"/>
        <v>6</v>
      </c>
      <c r="AY122" s="282">
        <f t="shared" si="403"/>
        <v>0</v>
      </c>
      <c r="AZ122" s="282">
        <f t="shared" si="404"/>
        <v>0</v>
      </c>
      <c r="BA122" s="282">
        <f t="shared" si="405"/>
        <v>0</v>
      </c>
      <c r="BB122" s="302"/>
      <c r="BC122" s="302"/>
      <c r="BD122" s="302"/>
      <c r="BE122" s="302"/>
      <c r="BF122" s="302"/>
      <c r="BG122" s="302"/>
      <c r="BH122" s="302"/>
      <c r="BI122" s="302"/>
      <c r="BJ122" s="338"/>
      <c r="BK122" s="122"/>
    </row>
    <row r="123" spans="1:63" s="101" customFormat="1" ht="15.75" thickBot="1">
      <c r="A123" s="90">
        <v>64</v>
      </c>
      <c r="B123" s="300"/>
      <c r="C123" s="106" t="s">
        <v>152</v>
      </c>
      <c r="D123" s="91">
        <v>3.6459999999999999</v>
      </c>
      <c r="E123" s="94">
        <v>9.5510000000000002</v>
      </c>
      <c r="F123" s="91">
        <v>10.991</v>
      </c>
      <c r="G123" s="104">
        <f t="shared" si="374"/>
        <v>34.822946000000002</v>
      </c>
      <c r="H123" s="104">
        <f t="shared" si="398"/>
        <v>4118.2716344693599</v>
      </c>
      <c r="I123" s="91">
        <v>15</v>
      </c>
      <c r="J123" s="92">
        <f t="shared" si="399"/>
        <v>1029.56790861734</v>
      </c>
      <c r="K123" s="91">
        <v>1</v>
      </c>
      <c r="L123" s="91">
        <v>0</v>
      </c>
      <c r="M123" s="92">
        <f t="shared" si="400"/>
        <v>1029.56790861734</v>
      </c>
      <c r="N123" s="92">
        <f t="shared" si="401"/>
        <v>1029.56790861734</v>
      </c>
      <c r="O123" s="93">
        <v>0</v>
      </c>
      <c r="P123" s="92">
        <f t="shared" si="375"/>
        <v>1081.046304048207</v>
      </c>
      <c r="Q123" s="94">
        <v>0</v>
      </c>
      <c r="R123" s="94">
        <v>0</v>
      </c>
      <c r="S123" s="301"/>
      <c r="T123" s="297"/>
      <c r="U123" s="297"/>
      <c r="V123" s="297"/>
      <c r="W123" s="297"/>
      <c r="X123" s="297"/>
      <c r="Y123" s="91" t="s">
        <v>106</v>
      </c>
      <c r="Z123" s="91" t="s">
        <v>106</v>
      </c>
      <c r="AA123" s="91">
        <v>106</v>
      </c>
      <c r="AB123" s="91" t="s">
        <v>106</v>
      </c>
      <c r="AC123" s="92" t="e">
        <f t="shared" si="376"/>
        <v>#VALUE!</v>
      </c>
      <c r="AD123" s="92" t="e">
        <f t="shared" si="377"/>
        <v>#VALUE!</v>
      </c>
      <c r="AE123" s="92" t="e">
        <f t="shared" si="378"/>
        <v>#VALUE!</v>
      </c>
      <c r="AF123" s="92" t="e">
        <f t="shared" si="379"/>
        <v>#VALUE!</v>
      </c>
      <c r="AG123" s="92">
        <f t="shared" si="380"/>
        <v>655.71607317999997</v>
      </c>
      <c r="AH123" s="92" t="e">
        <f t="shared" si="381"/>
        <v>#VALUE!</v>
      </c>
      <c r="AI123" s="92">
        <f t="shared" si="382"/>
        <v>285</v>
      </c>
      <c r="AJ123" s="92" t="e">
        <f t="shared" si="383"/>
        <v>#VALUE!</v>
      </c>
      <c r="AK123" s="92" t="e">
        <f t="shared" si="384"/>
        <v>#VALUE!</v>
      </c>
      <c r="AL123" s="92" t="e">
        <f t="shared" si="385"/>
        <v>#VALUE!</v>
      </c>
      <c r="AM123" s="92">
        <f t="shared" si="386"/>
        <v>215</v>
      </c>
      <c r="AN123" s="92" t="e">
        <f t="shared" si="387"/>
        <v>#VALUE!</v>
      </c>
      <c r="AO123" s="92" t="e">
        <f t="shared" si="388"/>
        <v>#VALUE!</v>
      </c>
      <c r="AP123" s="92" t="e">
        <f t="shared" si="389"/>
        <v>#VALUE!</v>
      </c>
      <c r="AQ123" s="92" t="e">
        <f t="shared" si="390"/>
        <v>#VALUE!</v>
      </c>
      <c r="AR123" s="92">
        <f t="shared" si="391"/>
        <v>110896.81857299093</v>
      </c>
      <c r="AS123" s="92" t="e">
        <f t="shared" si="392"/>
        <v>#VALUE!</v>
      </c>
      <c r="AT123" s="92" t="e">
        <f t="shared" si="393"/>
        <v>#VALUE!</v>
      </c>
      <c r="AU123" s="92">
        <v>49</v>
      </c>
      <c r="AV123" s="92" t="e">
        <f t="shared" si="394"/>
        <v>#VALUE!</v>
      </c>
      <c r="AW123" s="282">
        <v>5</v>
      </c>
      <c r="AX123" s="282">
        <f t="shared" si="402"/>
        <v>4</v>
      </c>
      <c r="AY123" s="282">
        <f t="shared" si="403"/>
        <v>0</v>
      </c>
      <c r="AZ123" s="282">
        <f t="shared" si="404"/>
        <v>0</v>
      </c>
      <c r="BA123" s="282">
        <f t="shared" si="405"/>
        <v>0</v>
      </c>
      <c r="BB123" s="302"/>
      <c r="BC123" s="302"/>
      <c r="BD123" s="302"/>
      <c r="BE123" s="302"/>
      <c r="BF123" s="302"/>
      <c r="BG123" s="302"/>
      <c r="BH123" s="302"/>
      <c r="BI123" s="302"/>
      <c r="BJ123" s="338"/>
      <c r="BK123" s="122"/>
    </row>
    <row r="124" spans="1:63" s="101" customFormat="1" ht="15.75" thickBot="1">
      <c r="A124" s="90">
        <v>65</v>
      </c>
      <c r="B124" s="300"/>
      <c r="C124" s="106" t="s">
        <v>153</v>
      </c>
      <c r="D124" s="91">
        <v>2.7549999999999999</v>
      </c>
      <c r="E124" s="94">
        <v>2.75</v>
      </c>
      <c r="F124" s="91">
        <v>7.5460000000000003</v>
      </c>
      <c r="G124" s="104">
        <f t="shared" si="374"/>
        <v>7.5762499999999999</v>
      </c>
      <c r="H124" s="104">
        <f t="shared" si="398"/>
        <v>615.15331570000001</v>
      </c>
      <c r="I124" s="91">
        <v>15</v>
      </c>
      <c r="J124" s="92">
        <f t="shared" si="399"/>
        <v>153.788328925</v>
      </c>
      <c r="K124" s="91">
        <v>1</v>
      </c>
      <c r="L124" s="91">
        <v>0</v>
      </c>
      <c r="M124" s="92">
        <f t="shared" si="400"/>
        <v>153.788328925</v>
      </c>
      <c r="N124" s="92">
        <f t="shared" si="401"/>
        <v>153.788328925</v>
      </c>
      <c r="O124" s="93">
        <v>0</v>
      </c>
      <c r="P124" s="92">
        <f t="shared" si="375"/>
        <v>161.47774537124999</v>
      </c>
      <c r="Q124" s="94">
        <v>0</v>
      </c>
      <c r="R124" s="94">
        <v>0</v>
      </c>
      <c r="S124" s="301"/>
      <c r="T124" s="297"/>
      <c r="U124" s="297"/>
      <c r="V124" s="297"/>
      <c r="W124" s="297"/>
      <c r="X124" s="297"/>
      <c r="Y124" s="91" t="s">
        <v>106</v>
      </c>
      <c r="Z124" s="91" t="s">
        <v>106</v>
      </c>
      <c r="AA124" s="91">
        <v>106</v>
      </c>
      <c r="AB124" s="91" t="s">
        <v>106</v>
      </c>
      <c r="AC124" s="92" t="e">
        <f t="shared" si="376"/>
        <v>#VALUE!</v>
      </c>
      <c r="AD124" s="92" t="e">
        <f t="shared" si="377"/>
        <v>#VALUE!</v>
      </c>
      <c r="AE124" s="92" t="e">
        <f t="shared" si="378"/>
        <v>#VALUE!</v>
      </c>
      <c r="AF124" s="92" t="e">
        <f t="shared" si="379"/>
        <v>#VALUE!</v>
      </c>
      <c r="AG124" s="92">
        <f t="shared" si="380"/>
        <v>142.6607875</v>
      </c>
      <c r="AH124" s="92" t="e">
        <f t="shared" si="381"/>
        <v>#VALUE!</v>
      </c>
      <c r="AI124" s="92">
        <f t="shared" si="382"/>
        <v>285</v>
      </c>
      <c r="AJ124" s="92" t="e">
        <f t="shared" si="383"/>
        <v>#VALUE!</v>
      </c>
      <c r="AK124" s="92" t="e">
        <f t="shared" si="384"/>
        <v>#VALUE!</v>
      </c>
      <c r="AL124" s="92" t="e">
        <f t="shared" si="385"/>
        <v>#VALUE!</v>
      </c>
      <c r="AM124" s="92">
        <f t="shared" si="386"/>
        <v>215</v>
      </c>
      <c r="AN124" s="92" t="e">
        <f t="shared" si="387"/>
        <v>#VALUE!</v>
      </c>
      <c r="AO124" s="92" t="e">
        <f t="shared" si="388"/>
        <v>#VALUE!</v>
      </c>
      <c r="AP124" s="92" t="e">
        <f t="shared" si="389"/>
        <v>#VALUE!</v>
      </c>
      <c r="AQ124" s="92" t="e">
        <f t="shared" si="390"/>
        <v>#VALUE!</v>
      </c>
      <c r="AR124" s="92">
        <f t="shared" si="391"/>
        <v>16564.848485169601</v>
      </c>
      <c r="AS124" s="92" t="e">
        <f t="shared" si="392"/>
        <v>#VALUE!</v>
      </c>
      <c r="AT124" s="92" t="e">
        <f t="shared" si="393"/>
        <v>#VALUE!</v>
      </c>
      <c r="AU124" s="92">
        <v>49</v>
      </c>
      <c r="AV124" s="92" t="e">
        <f t="shared" si="394"/>
        <v>#VALUE!</v>
      </c>
      <c r="AW124" s="282">
        <v>5</v>
      </c>
      <c r="AX124" s="282">
        <f t="shared" si="402"/>
        <v>2</v>
      </c>
      <c r="AY124" s="282">
        <f t="shared" si="403"/>
        <v>0</v>
      </c>
      <c r="AZ124" s="282">
        <f t="shared" si="404"/>
        <v>0</v>
      </c>
      <c r="BA124" s="282">
        <f t="shared" si="405"/>
        <v>0</v>
      </c>
      <c r="BB124" s="302"/>
      <c r="BC124" s="302"/>
      <c r="BD124" s="302"/>
      <c r="BE124" s="302"/>
      <c r="BF124" s="302"/>
      <c r="BG124" s="302"/>
      <c r="BH124" s="302"/>
      <c r="BI124" s="302"/>
      <c r="BJ124" s="338"/>
      <c r="BK124" s="122"/>
    </row>
    <row r="125" spans="1:63" s="101" customFormat="1" ht="15.75" thickBot="1">
      <c r="A125" s="90">
        <v>66</v>
      </c>
      <c r="B125" s="300"/>
      <c r="C125" s="106" t="s">
        <v>153</v>
      </c>
      <c r="D125" s="91">
        <v>2.7549999999999999</v>
      </c>
      <c r="E125" s="94">
        <v>2.919</v>
      </c>
      <c r="F125" s="91">
        <v>7.5460000000000003</v>
      </c>
      <c r="G125" s="104">
        <f t="shared" si="374"/>
        <v>8.0418450000000004</v>
      </c>
      <c r="H125" s="104">
        <f t="shared" si="398"/>
        <v>652.95728310120001</v>
      </c>
      <c r="I125" s="91">
        <v>15</v>
      </c>
      <c r="J125" s="92">
        <f t="shared" si="399"/>
        <v>163.2393207753</v>
      </c>
      <c r="K125" s="91">
        <v>1</v>
      </c>
      <c r="L125" s="91">
        <v>0</v>
      </c>
      <c r="M125" s="92">
        <f t="shared" si="400"/>
        <v>163.2393207753</v>
      </c>
      <c r="N125" s="92">
        <f t="shared" si="401"/>
        <v>163.2393207753</v>
      </c>
      <c r="O125" s="93">
        <v>0</v>
      </c>
      <c r="P125" s="92">
        <f t="shared" si="375"/>
        <v>171.401286814065</v>
      </c>
      <c r="Q125" s="94">
        <v>0</v>
      </c>
      <c r="R125" s="94">
        <v>0</v>
      </c>
      <c r="S125" s="301"/>
      <c r="T125" s="297"/>
      <c r="U125" s="297"/>
      <c r="V125" s="297"/>
      <c r="W125" s="297"/>
      <c r="X125" s="297"/>
      <c r="Y125" s="91" t="s">
        <v>106</v>
      </c>
      <c r="Z125" s="91" t="s">
        <v>106</v>
      </c>
      <c r="AA125" s="91">
        <v>106</v>
      </c>
      <c r="AB125" s="91" t="s">
        <v>106</v>
      </c>
      <c r="AC125" s="92" t="e">
        <f t="shared" si="376"/>
        <v>#VALUE!</v>
      </c>
      <c r="AD125" s="92" t="e">
        <f t="shared" si="377"/>
        <v>#VALUE!</v>
      </c>
      <c r="AE125" s="92" t="e">
        <f t="shared" si="378"/>
        <v>#VALUE!</v>
      </c>
      <c r="AF125" s="92" t="e">
        <f t="shared" si="379"/>
        <v>#VALUE!</v>
      </c>
      <c r="AG125" s="92">
        <f t="shared" si="380"/>
        <v>151.42794135</v>
      </c>
      <c r="AH125" s="92" t="e">
        <f t="shared" si="381"/>
        <v>#VALUE!</v>
      </c>
      <c r="AI125" s="92">
        <f t="shared" si="382"/>
        <v>285</v>
      </c>
      <c r="AJ125" s="92" t="e">
        <f t="shared" si="383"/>
        <v>#VALUE!</v>
      </c>
      <c r="AK125" s="92" t="e">
        <f t="shared" si="384"/>
        <v>#VALUE!</v>
      </c>
      <c r="AL125" s="92" t="e">
        <f t="shared" si="385"/>
        <v>#VALUE!</v>
      </c>
      <c r="AM125" s="92">
        <f t="shared" si="386"/>
        <v>215</v>
      </c>
      <c r="AN125" s="92" t="e">
        <f t="shared" si="387"/>
        <v>#VALUE!</v>
      </c>
      <c r="AO125" s="92" t="e">
        <f t="shared" si="388"/>
        <v>#VALUE!</v>
      </c>
      <c r="AP125" s="92" t="e">
        <f t="shared" si="389"/>
        <v>#VALUE!</v>
      </c>
      <c r="AQ125" s="92" t="e">
        <f t="shared" si="390"/>
        <v>#VALUE!</v>
      </c>
      <c r="AR125" s="92">
        <f t="shared" si="391"/>
        <v>17582.833719349113</v>
      </c>
      <c r="AS125" s="92" t="e">
        <f t="shared" si="392"/>
        <v>#VALUE!</v>
      </c>
      <c r="AT125" s="92" t="e">
        <f t="shared" si="393"/>
        <v>#VALUE!</v>
      </c>
      <c r="AU125" s="92">
        <v>49</v>
      </c>
      <c r="AV125" s="92" t="e">
        <f t="shared" si="394"/>
        <v>#VALUE!</v>
      </c>
      <c r="AW125" s="282">
        <v>5</v>
      </c>
      <c r="AX125" s="282">
        <f t="shared" si="402"/>
        <v>2</v>
      </c>
      <c r="AY125" s="282">
        <f t="shared" si="403"/>
        <v>0</v>
      </c>
      <c r="AZ125" s="282">
        <f t="shared" si="404"/>
        <v>0</v>
      </c>
      <c r="BA125" s="282">
        <f t="shared" si="405"/>
        <v>0</v>
      </c>
      <c r="BB125" s="302"/>
      <c r="BC125" s="302"/>
      <c r="BD125" s="302"/>
      <c r="BE125" s="302"/>
      <c r="BF125" s="302"/>
      <c r="BG125" s="302"/>
      <c r="BH125" s="302"/>
      <c r="BI125" s="302"/>
      <c r="BJ125" s="338"/>
      <c r="BK125" s="122"/>
    </row>
    <row r="126" spans="1:63" s="101" customFormat="1" ht="15.75" thickBot="1">
      <c r="A126" s="90">
        <v>67</v>
      </c>
      <c r="B126" s="300"/>
      <c r="C126" s="106" t="s">
        <v>154</v>
      </c>
      <c r="D126" s="91">
        <v>4.32</v>
      </c>
      <c r="E126" s="94">
        <v>3</v>
      </c>
      <c r="F126" s="91">
        <v>7.5460000000000003</v>
      </c>
      <c r="G126" s="104">
        <f t="shared" si="374"/>
        <v>12.96</v>
      </c>
      <c r="H126" s="104">
        <f t="shared" si="398"/>
        <v>1052.2866816000001</v>
      </c>
      <c r="I126" s="91">
        <v>15</v>
      </c>
      <c r="J126" s="92">
        <f t="shared" si="399"/>
        <v>263.07167040000002</v>
      </c>
      <c r="K126" s="91">
        <v>1</v>
      </c>
      <c r="L126" s="91">
        <v>0</v>
      </c>
      <c r="M126" s="92">
        <f t="shared" si="400"/>
        <v>263.07167040000002</v>
      </c>
      <c r="N126" s="92">
        <f t="shared" si="401"/>
        <v>263.07167040000002</v>
      </c>
      <c r="O126" s="93">
        <v>0</v>
      </c>
      <c r="P126" s="92">
        <f t="shared" si="375"/>
        <v>276.22525392000006</v>
      </c>
      <c r="Q126" s="94">
        <v>0</v>
      </c>
      <c r="R126" s="94">
        <v>0</v>
      </c>
      <c r="S126" s="301"/>
      <c r="T126" s="297"/>
      <c r="U126" s="297"/>
      <c r="V126" s="297"/>
      <c r="W126" s="297"/>
      <c r="X126" s="297"/>
      <c r="Y126" s="91" t="s">
        <v>106</v>
      </c>
      <c r="Z126" s="91" t="s">
        <v>106</v>
      </c>
      <c r="AA126" s="91">
        <v>106</v>
      </c>
      <c r="AB126" s="91" t="s">
        <v>106</v>
      </c>
      <c r="AC126" s="92" t="e">
        <f t="shared" si="376"/>
        <v>#VALUE!</v>
      </c>
      <c r="AD126" s="92" t="e">
        <f t="shared" si="377"/>
        <v>#VALUE!</v>
      </c>
      <c r="AE126" s="92" t="e">
        <f t="shared" si="378"/>
        <v>#VALUE!</v>
      </c>
      <c r="AF126" s="92" t="e">
        <f t="shared" si="379"/>
        <v>#VALUE!</v>
      </c>
      <c r="AG126" s="92">
        <f t="shared" si="380"/>
        <v>244.0368</v>
      </c>
      <c r="AH126" s="92" t="e">
        <f t="shared" si="381"/>
        <v>#VALUE!</v>
      </c>
      <c r="AI126" s="92">
        <f t="shared" si="382"/>
        <v>285</v>
      </c>
      <c r="AJ126" s="92" t="e">
        <f t="shared" si="383"/>
        <v>#VALUE!</v>
      </c>
      <c r="AK126" s="92" t="e">
        <f t="shared" si="384"/>
        <v>#VALUE!</v>
      </c>
      <c r="AL126" s="92" t="e">
        <f t="shared" si="385"/>
        <v>#VALUE!</v>
      </c>
      <c r="AM126" s="92">
        <f t="shared" si="386"/>
        <v>215</v>
      </c>
      <c r="AN126" s="92" t="e">
        <f t="shared" si="387"/>
        <v>#VALUE!</v>
      </c>
      <c r="AO126" s="92" t="e">
        <f t="shared" si="388"/>
        <v>#VALUE!</v>
      </c>
      <c r="AP126" s="92" t="e">
        <f t="shared" si="389"/>
        <v>#VALUE!</v>
      </c>
      <c r="AQ126" s="92" t="e">
        <f t="shared" si="390"/>
        <v>#VALUE!</v>
      </c>
      <c r="AR126" s="92">
        <f t="shared" si="391"/>
        <v>28335.975762124803</v>
      </c>
      <c r="AS126" s="92" t="e">
        <f t="shared" si="392"/>
        <v>#VALUE!</v>
      </c>
      <c r="AT126" s="92" t="e">
        <f t="shared" si="393"/>
        <v>#VALUE!</v>
      </c>
      <c r="AU126" s="92">
        <v>49</v>
      </c>
      <c r="AV126" s="92" t="e">
        <f t="shared" si="394"/>
        <v>#VALUE!</v>
      </c>
      <c r="AW126" s="282">
        <v>5</v>
      </c>
      <c r="AX126" s="282">
        <f t="shared" si="402"/>
        <v>2</v>
      </c>
      <c r="AY126" s="282">
        <f t="shared" si="403"/>
        <v>0</v>
      </c>
      <c r="AZ126" s="282">
        <f t="shared" si="404"/>
        <v>0</v>
      </c>
      <c r="BA126" s="282">
        <f t="shared" si="405"/>
        <v>0</v>
      </c>
      <c r="BB126" s="302"/>
      <c r="BC126" s="302"/>
      <c r="BD126" s="302"/>
      <c r="BE126" s="302"/>
      <c r="BF126" s="302"/>
      <c r="BG126" s="302"/>
      <c r="BH126" s="302"/>
      <c r="BI126" s="302"/>
      <c r="BJ126" s="338"/>
      <c r="BK126" s="122"/>
    </row>
    <row r="127" spans="1:63" s="101" customFormat="1" ht="15.75" thickBot="1">
      <c r="A127" s="90">
        <v>68</v>
      </c>
      <c r="B127" s="300"/>
      <c r="C127" s="106" t="s">
        <v>139</v>
      </c>
      <c r="D127" s="91">
        <v>2.9849999999999999</v>
      </c>
      <c r="E127" s="94">
        <v>3</v>
      </c>
      <c r="F127" s="91">
        <v>7.5460000000000003</v>
      </c>
      <c r="G127" s="104">
        <f t="shared" si="374"/>
        <v>8.9550000000000001</v>
      </c>
      <c r="H127" s="104">
        <f t="shared" si="398"/>
        <v>727.10086680000006</v>
      </c>
      <c r="I127" s="91">
        <v>15</v>
      </c>
      <c r="J127" s="92">
        <f t="shared" si="399"/>
        <v>181.77521670000002</v>
      </c>
      <c r="K127" s="91">
        <v>1</v>
      </c>
      <c r="L127" s="91">
        <v>0</v>
      </c>
      <c r="M127" s="92">
        <f t="shared" si="400"/>
        <v>181.77521670000002</v>
      </c>
      <c r="N127" s="92">
        <f t="shared" si="401"/>
        <v>181.77521670000002</v>
      </c>
      <c r="O127" s="93">
        <v>0</v>
      </c>
      <c r="P127" s="92">
        <f t="shared" si="375"/>
        <v>190.86397753500003</v>
      </c>
      <c r="Q127" s="94">
        <v>0</v>
      </c>
      <c r="R127" s="94">
        <v>0</v>
      </c>
      <c r="S127" s="301"/>
      <c r="T127" s="297"/>
      <c r="U127" s="297"/>
      <c r="V127" s="297"/>
      <c r="W127" s="297"/>
      <c r="X127" s="297"/>
      <c r="Y127" s="91" t="s">
        <v>106</v>
      </c>
      <c r="Z127" s="91" t="s">
        <v>106</v>
      </c>
      <c r="AA127" s="91">
        <v>106</v>
      </c>
      <c r="AB127" s="91" t="s">
        <v>106</v>
      </c>
      <c r="AC127" s="92" t="e">
        <f t="shared" si="376"/>
        <v>#VALUE!</v>
      </c>
      <c r="AD127" s="92" t="e">
        <f t="shared" si="377"/>
        <v>#VALUE!</v>
      </c>
      <c r="AE127" s="92" t="e">
        <f t="shared" si="378"/>
        <v>#VALUE!</v>
      </c>
      <c r="AF127" s="92" t="e">
        <f t="shared" si="379"/>
        <v>#VALUE!</v>
      </c>
      <c r="AG127" s="92">
        <f t="shared" si="380"/>
        <v>168.62264999999999</v>
      </c>
      <c r="AH127" s="92" t="e">
        <f t="shared" si="381"/>
        <v>#VALUE!</v>
      </c>
      <c r="AI127" s="92">
        <f t="shared" si="382"/>
        <v>285</v>
      </c>
      <c r="AJ127" s="92" t="e">
        <f t="shared" si="383"/>
        <v>#VALUE!</v>
      </c>
      <c r="AK127" s="92" t="e">
        <f t="shared" si="384"/>
        <v>#VALUE!</v>
      </c>
      <c r="AL127" s="92" t="e">
        <f t="shared" si="385"/>
        <v>#VALUE!</v>
      </c>
      <c r="AM127" s="92">
        <f t="shared" si="386"/>
        <v>215</v>
      </c>
      <c r="AN127" s="92" t="e">
        <f t="shared" si="387"/>
        <v>#VALUE!</v>
      </c>
      <c r="AO127" s="92" t="e">
        <f t="shared" si="388"/>
        <v>#VALUE!</v>
      </c>
      <c r="AP127" s="92" t="e">
        <f t="shared" si="389"/>
        <v>#VALUE!</v>
      </c>
      <c r="AQ127" s="92" t="e">
        <f t="shared" si="390"/>
        <v>#VALUE!</v>
      </c>
      <c r="AR127" s="92">
        <f t="shared" si="391"/>
        <v>19579.372141190404</v>
      </c>
      <c r="AS127" s="92" t="e">
        <f t="shared" si="392"/>
        <v>#VALUE!</v>
      </c>
      <c r="AT127" s="92" t="e">
        <f t="shared" si="393"/>
        <v>#VALUE!</v>
      </c>
      <c r="AU127" s="92">
        <v>49</v>
      </c>
      <c r="AV127" s="92" t="e">
        <f t="shared" si="394"/>
        <v>#VALUE!</v>
      </c>
      <c r="AW127" s="282">
        <v>5</v>
      </c>
      <c r="AX127" s="282">
        <f t="shared" si="402"/>
        <v>2</v>
      </c>
      <c r="AY127" s="282">
        <f t="shared" si="403"/>
        <v>0</v>
      </c>
      <c r="AZ127" s="282">
        <f t="shared" si="404"/>
        <v>0</v>
      </c>
      <c r="BA127" s="282">
        <f t="shared" si="405"/>
        <v>0</v>
      </c>
      <c r="BB127" s="302"/>
      <c r="BC127" s="302"/>
      <c r="BD127" s="302"/>
      <c r="BE127" s="302"/>
      <c r="BF127" s="302"/>
      <c r="BG127" s="302"/>
      <c r="BH127" s="302"/>
      <c r="BI127" s="302"/>
      <c r="BJ127" s="338"/>
      <c r="BK127" s="122"/>
    </row>
    <row r="128" spans="1:63" s="101" customFormat="1" ht="15.75" thickBot="1">
      <c r="A128" s="90">
        <v>69</v>
      </c>
      <c r="B128" s="300"/>
      <c r="C128" s="106" t="s">
        <v>139</v>
      </c>
      <c r="D128" s="91">
        <v>2.6</v>
      </c>
      <c r="E128" s="94">
        <v>3</v>
      </c>
      <c r="F128" s="91">
        <v>7.5460000000000003</v>
      </c>
      <c r="G128" s="104">
        <f t="shared" si="374"/>
        <v>7.8000000000000007</v>
      </c>
      <c r="H128" s="104">
        <f t="shared" si="398"/>
        <v>633.32068800000013</v>
      </c>
      <c r="I128" s="91">
        <v>15</v>
      </c>
      <c r="J128" s="92">
        <f t="shared" si="399"/>
        <v>158.33017200000003</v>
      </c>
      <c r="K128" s="91">
        <v>1</v>
      </c>
      <c r="L128" s="91">
        <v>0</v>
      </c>
      <c r="M128" s="92">
        <f t="shared" si="400"/>
        <v>158.33017200000003</v>
      </c>
      <c r="N128" s="92">
        <f t="shared" si="401"/>
        <v>158.33017200000003</v>
      </c>
      <c r="O128" s="93">
        <v>0</v>
      </c>
      <c r="P128" s="92">
        <f t="shared" si="375"/>
        <v>166.24668060000005</v>
      </c>
      <c r="Q128" s="94">
        <v>0</v>
      </c>
      <c r="R128" s="94">
        <v>0</v>
      </c>
      <c r="S128" s="301"/>
      <c r="T128" s="297"/>
      <c r="U128" s="297"/>
      <c r="V128" s="297"/>
      <c r="W128" s="297"/>
      <c r="X128" s="297"/>
      <c r="Y128" s="91" t="s">
        <v>106</v>
      </c>
      <c r="Z128" s="91" t="s">
        <v>106</v>
      </c>
      <c r="AA128" s="91">
        <v>106</v>
      </c>
      <c r="AB128" s="91" t="s">
        <v>106</v>
      </c>
      <c r="AC128" s="92" t="e">
        <f t="shared" si="376"/>
        <v>#VALUE!</v>
      </c>
      <c r="AD128" s="92" t="e">
        <f t="shared" si="377"/>
        <v>#VALUE!</v>
      </c>
      <c r="AE128" s="92" t="e">
        <f t="shared" si="378"/>
        <v>#VALUE!</v>
      </c>
      <c r="AF128" s="92" t="e">
        <f t="shared" si="379"/>
        <v>#VALUE!</v>
      </c>
      <c r="AG128" s="92">
        <f t="shared" si="380"/>
        <v>146.87400000000002</v>
      </c>
      <c r="AH128" s="92" t="e">
        <f t="shared" si="381"/>
        <v>#VALUE!</v>
      </c>
      <c r="AI128" s="92">
        <f t="shared" si="382"/>
        <v>285</v>
      </c>
      <c r="AJ128" s="92" t="e">
        <f t="shared" si="383"/>
        <v>#VALUE!</v>
      </c>
      <c r="AK128" s="92" t="e">
        <f t="shared" si="384"/>
        <v>#VALUE!</v>
      </c>
      <c r="AL128" s="92" t="e">
        <f t="shared" si="385"/>
        <v>#VALUE!</v>
      </c>
      <c r="AM128" s="92">
        <f t="shared" si="386"/>
        <v>215</v>
      </c>
      <c r="AN128" s="92" t="e">
        <f t="shared" si="387"/>
        <v>#VALUE!</v>
      </c>
      <c r="AO128" s="92" t="e">
        <f t="shared" si="388"/>
        <v>#VALUE!</v>
      </c>
      <c r="AP128" s="92" t="e">
        <f t="shared" si="389"/>
        <v>#VALUE!</v>
      </c>
      <c r="AQ128" s="92" t="e">
        <f t="shared" si="390"/>
        <v>#VALUE!</v>
      </c>
      <c r="AR128" s="92">
        <f t="shared" si="391"/>
        <v>17054.059486464008</v>
      </c>
      <c r="AS128" s="92" t="e">
        <f t="shared" si="392"/>
        <v>#VALUE!</v>
      </c>
      <c r="AT128" s="92" t="e">
        <f t="shared" si="393"/>
        <v>#VALUE!</v>
      </c>
      <c r="AU128" s="92">
        <v>49</v>
      </c>
      <c r="AV128" s="92" t="e">
        <f t="shared" si="394"/>
        <v>#VALUE!</v>
      </c>
      <c r="AW128" s="282">
        <v>5</v>
      </c>
      <c r="AX128" s="282">
        <f t="shared" si="402"/>
        <v>2</v>
      </c>
      <c r="AY128" s="282">
        <f t="shared" si="403"/>
        <v>0</v>
      </c>
      <c r="AZ128" s="282">
        <f t="shared" si="404"/>
        <v>0</v>
      </c>
      <c r="BA128" s="282">
        <f t="shared" si="405"/>
        <v>0</v>
      </c>
      <c r="BB128" s="302"/>
      <c r="BC128" s="302"/>
      <c r="BD128" s="302"/>
      <c r="BE128" s="302"/>
      <c r="BF128" s="302"/>
      <c r="BG128" s="302"/>
      <c r="BH128" s="302"/>
      <c r="BI128" s="302"/>
      <c r="BJ128" s="338"/>
      <c r="BK128" s="122"/>
    </row>
    <row r="129" spans="1:63" s="101" customFormat="1" ht="15.75" thickBot="1">
      <c r="A129" s="90">
        <v>70</v>
      </c>
      <c r="B129" s="300"/>
      <c r="C129" s="106" t="s">
        <v>152</v>
      </c>
      <c r="D129" s="91">
        <v>15.4</v>
      </c>
      <c r="E129" s="94">
        <v>7.2</v>
      </c>
      <c r="F129" s="91">
        <v>10.991</v>
      </c>
      <c r="G129" s="104">
        <f t="shared" si="374"/>
        <v>110.88000000000001</v>
      </c>
      <c r="H129" s="104">
        <f t="shared" si="398"/>
        <v>13113.0191808</v>
      </c>
      <c r="I129" s="91">
        <v>15</v>
      </c>
      <c r="J129" s="92">
        <f t="shared" si="399"/>
        <v>3278.2547952</v>
      </c>
      <c r="K129" s="91">
        <v>1</v>
      </c>
      <c r="L129" s="91">
        <v>0</v>
      </c>
      <c r="M129" s="92">
        <f t="shared" si="400"/>
        <v>3278.2547952</v>
      </c>
      <c r="N129" s="92">
        <f t="shared" si="401"/>
        <v>3278.2547952</v>
      </c>
      <c r="O129" s="93">
        <v>0</v>
      </c>
      <c r="P129" s="92">
        <f t="shared" si="375"/>
        <v>3442.16753496</v>
      </c>
      <c r="Q129" s="94">
        <v>0</v>
      </c>
      <c r="R129" s="94">
        <v>0</v>
      </c>
      <c r="S129" s="301"/>
      <c r="T129" s="297"/>
      <c r="U129" s="297"/>
      <c r="V129" s="297"/>
      <c r="W129" s="297"/>
      <c r="X129" s="297"/>
      <c r="Y129" s="91" t="s">
        <v>106</v>
      </c>
      <c r="Z129" s="91" t="s">
        <v>106</v>
      </c>
      <c r="AA129" s="91">
        <v>106</v>
      </c>
      <c r="AB129" s="91" t="s">
        <v>106</v>
      </c>
      <c r="AC129" s="92" t="e">
        <f t="shared" si="376"/>
        <v>#VALUE!</v>
      </c>
      <c r="AD129" s="92" t="e">
        <f t="shared" si="377"/>
        <v>#VALUE!</v>
      </c>
      <c r="AE129" s="92" t="e">
        <f t="shared" si="378"/>
        <v>#VALUE!</v>
      </c>
      <c r="AF129" s="92" t="e">
        <f t="shared" si="379"/>
        <v>#VALUE!</v>
      </c>
      <c r="AG129" s="92">
        <f t="shared" si="380"/>
        <v>2087.8704000000002</v>
      </c>
      <c r="AH129" s="92" t="e">
        <f t="shared" si="381"/>
        <v>#VALUE!</v>
      </c>
      <c r="AI129" s="92">
        <f t="shared" si="382"/>
        <v>285</v>
      </c>
      <c r="AJ129" s="92" t="e">
        <f t="shared" si="383"/>
        <v>#VALUE!</v>
      </c>
      <c r="AK129" s="92" t="e">
        <f t="shared" si="384"/>
        <v>#VALUE!</v>
      </c>
      <c r="AL129" s="92" t="e">
        <f t="shared" si="385"/>
        <v>#VALUE!</v>
      </c>
      <c r="AM129" s="92">
        <f t="shared" si="386"/>
        <v>215</v>
      </c>
      <c r="AN129" s="92" t="e">
        <f t="shared" si="387"/>
        <v>#VALUE!</v>
      </c>
      <c r="AO129" s="92" t="e">
        <f t="shared" si="388"/>
        <v>#VALUE!</v>
      </c>
      <c r="AP129" s="92" t="e">
        <f t="shared" si="389"/>
        <v>#VALUE!</v>
      </c>
      <c r="AQ129" s="92" t="e">
        <f t="shared" si="390"/>
        <v>#VALUE!</v>
      </c>
      <c r="AR129" s="92">
        <f t="shared" si="391"/>
        <v>353107.38050058245</v>
      </c>
      <c r="AS129" s="92" t="e">
        <f t="shared" si="392"/>
        <v>#VALUE!</v>
      </c>
      <c r="AT129" s="92" t="e">
        <f t="shared" si="393"/>
        <v>#VALUE!</v>
      </c>
      <c r="AU129" s="92">
        <v>49</v>
      </c>
      <c r="AV129" s="92" t="e">
        <f t="shared" si="394"/>
        <v>#VALUE!</v>
      </c>
      <c r="AW129" s="282">
        <v>5</v>
      </c>
      <c r="AX129" s="282">
        <f t="shared" si="402"/>
        <v>10</v>
      </c>
      <c r="AY129" s="282">
        <f t="shared" si="403"/>
        <v>0</v>
      </c>
      <c r="AZ129" s="282">
        <f t="shared" si="404"/>
        <v>0</v>
      </c>
      <c r="BA129" s="282">
        <f t="shared" si="405"/>
        <v>0</v>
      </c>
      <c r="BB129" s="302"/>
      <c r="BC129" s="302"/>
      <c r="BD129" s="302"/>
      <c r="BE129" s="302"/>
      <c r="BF129" s="302"/>
      <c r="BG129" s="302"/>
      <c r="BH129" s="302"/>
      <c r="BI129" s="302"/>
      <c r="BJ129" s="338"/>
      <c r="BK129" s="122"/>
    </row>
    <row r="130" spans="1:63" s="101" customFormat="1" ht="15.75" thickBot="1">
      <c r="A130" s="90">
        <v>70</v>
      </c>
      <c r="B130" s="300"/>
      <c r="C130" s="106" t="s">
        <v>152</v>
      </c>
      <c r="D130" s="91">
        <v>12.3</v>
      </c>
      <c r="E130" s="94">
        <v>7.3869999999999996</v>
      </c>
      <c r="F130" s="91">
        <v>10.991</v>
      </c>
      <c r="G130" s="104">
        <f t="shared" si="374"/>
        <v>90.860100000000003</v>
      </c>
      <c r="H130" s="104">
        <f t="shared" si="398"/>
        <v>10745.402543916</v>
      </c>
      <c r="I130" s="91">
        <v>15</v>
      </c>
      <c r="J130" s="92">
        <f t="shared" si="399"/>
        <v>2686.3506359789999</v>
      </c>
      <c r="K130" s="91">
        <v>1</v>
      </c>
      <c r="L130" s="91">
        <v>0</v>
      </c>
      <c r="M130" s="92">
        <f t="shared" si="400"/>
        <v>2686.3506359789999</v>
      </c>
      <c r="N130" s="92">
        <f t="shared" si="401"/>
        <v>2686.3506359789999</v>
      </c>
      <c r="O130" s="93">
        <v>0</v>
      </c>
      <c r="P130" s="92">
        <f t="shared" si="375"/>
        <v>2820.6681677779502</v>
      </c>
      <c r="Q130" s="94">
        <v>0</v>
      </c>
      <c r="R130" s="94">
        <v>0</v>
      </c>
      <c r="S130" s="301"/>
      <c r="T130" s="297"/>
      <c r="U130" s="297"/>
      <c r="V130" s="297"/>
      <c r="W130" s="297"/>
      <c r="X130" s="297"/>
      <c r="Y130" s="91" t="s">
        <v>106</v>
      </c>
      <c r="Z130" s="91" t="s">
        <v>106</v>
      </c>
      <c r="AA130" s="91">
        <v>106</v>
      </c>
      <c r="AB130" s="91" t="s">
        <v>106</v>
      </c>
      <c r="AC130" s="92" t="e">
        <f t="shared" si="376"/>
        <v>#VALUE!</v>
      </c>
      <c r="AD130" s="92" t="e">
        <f t="shared" si="377"/>
        <v>#VALUE!</v>
      </c>
      <c r="AE130" s="92" t="e">
        <f t="shared" si="378"/>
        <v>#VALUE!</v>
      </c>
      <c r="AF130" s="92" t="e">
        <f t="shared" si="379"/>
        <v>#VALUE!</v>
      </c>
      <c r="AG130" s="92">
        <f t="shared" si="380"/>
        <v>1710.895683</v>
      </c>
      <c r="AH130" s="92" t="e">
        <f t="shared" si="381"/>
        <v>#VALUE!</v>
      </c>
      <c r="AI130" s="92">
        <f t="shared" si="382"/>
        <v>285</v>
      </c>
      <c r="AJ130" s="92" t="e">
        <f t="shared" si="383"/>
        <v>#VALUE!</v>
      </c>
      <c r="AK130" s="92" t="e">
        <f t="shared" si="384"/>
        <v>#VALUE!</v>
      </c>
      <c r="AL130" s="92" t="e">
        <f t="shared" si="385"/>
        <v>#VALUE!</v>
      </c>
      <c r="AM130" s="92">
        <f t="shared" si="386"/>
        <v>215</v>
      </c>
      <c r="AN130" s="92" t="e">
        <f t="shared" si="387"/>
        <v>#VALUE!</v>
      </c>
      <c r="AO130" s="92" t="e">
        <f t="shared" si="388"/>
        <v>#VALUE!</v>
      </c>
      <c r="AP130" s="92" t="e">
        <f t="shared" si="389"/>
        <v>#VALUE!</v>
      </c>
      <c r="AQ130" s="92" t="e">
        <f t="shared" si="390"/>
        <v>#VALUE!</v>
      </c>
      <c r="AR130" s="92">
        <f t="shared" si="391"/>
        <v>289352.1997025701</v>
      </c>
      <c r="AS130" s="92" t="e">
        <f t="shared" si="392"/>
        <v>#VALUE!</v>
      </c>
      <c r="AT130" s="92" t="e">
        <f t="shared" si="393"/>
        <v>#VALUE!</v>
      </c>
      <c r="AU130" s="92">
        <v>49</v>
      </c>
      <c r="AV130" s="92" t="e">
        <f t="shared" si="394"/>
        <v>#VALUE!</v>
      </c>
      <c r="AW130" s="282">
        <v>5</v>
      </c>
      <c r="AX130" s="282">
        <f t="shared" si="402"/>
        <v>10</v>
      </c>
      <c r="AY130" s="282">
        <f t="shared" si="403"/>
        <v>0</v>
      </c>
      <c r="AZ130" s="282">
        <f t="shared" si="404"/>
        <v>0</v>
      </c>
      <c r="BA130" s="282">
        <f t="shared" si="405"/>
        <v>0</v>
      </c>
      <c r="BB130" s="302"/>
      <c r="BC130" s="302"/>
      <c r="BD130" s="302"/>
      <c r="BE130" s="302"/>
      <c r="BF130" s="302"/>
      <c r="BG130" s="302"/>
      <c r="BH130" s="302"/>
      <c r="BI130" s="302"/>
      <c r="BJ130" s="338"/>
      <c r="BK130" s="122"/>
    </row>
    <row r="131" spans="1:63" s="101" customFormat="1" ht="15.75" thickBot="1">
      <c r="A131" s="90">
        <v>70</v>
      </c>
      <c r="B131" s="300"/>
      <c r="C131" s="106" t="s">
        <v>152</v>
      </c>
      <c r="D131" s="91">
        <v>6.4</v>
      </c>
      <c r="E131" s="94">
        <v>2.8639999999999999</v>
      </c>
      <c r="F131" s="91">
        <v>10.991</v>
      </c>
      <c r="G131" s="104">
        <f t="shared" si="374"/>
        <v>18.329599999999999</v>
      </c>
      <c r="H131" s="104">
        <f t="shared" si="398"/>
        <v>2167.7164175359999</v>
      </c>
      <c r="I131" s="91">
        <v>15</v>
      </c>
      <c r="J131" s="92">
        <f t="shared" si="399"/>
        <v>541.92910438399997</v>
      </c>
      <c r="K131" s="91">
        <v>1</v>
      </c>
      <c r="L131" s="91">
        <v>0</v>
      </c>
      <c r="M131" s="92">
        <f t="shared" si="400"/>
        <v>541.92910438399997</v>
      </c>
      <c r="N131" s="92">
        <f t="shared" si="401"/>
        <v>541.92910438399997</v>
      </c>
      <c r="O131" s="93">
        <v>0</v>
      </c>
      <c r="P131" s="92">
        <f t="shared" si="375"/>
        <v>569.02555960320001</v>
      </c>
      <c r="Q131" s="94">
        <v>0</v>
      </c>
      <c r="R131" s="94">
        <v>0</v>
      </c>
      <c r="S131" s="301"/>
      <c r="T131" s="298"/>
      <c r="U131" s="298"/>
      <c r="V131" s="298"/>
      <c r="W131" s="298"/>
      <c r="X131" s="298"/>
      <c r="Y131" s="91" t="s">
        <v>106</v>
      </c>
      <c r="Z131" s="91" t="s">
        <v>106</v>
      </c>
      <c r="AA131" s="91">
        <v>106</v>
      </c>
      <c r="AB131" s="91" t="s">
        <v>106</v>
      </c>
      <c r="AC131" s="92" t="e">
        <f t="shared" si="376"/>
        <v>#VALUE!</v>
      </c>
      <c r="AD131" s="92" t="e">
        <f t="shared" si="377"/>
        <v>#VALUE!</v>
      </c>
      <c r="AE131" s="92" t="e">
        <f t="shared" si="378"/>
        <v>#VALUE!</v>
      </c>
      <c r="AF131" s="92" t="e">
        <f t="shared" si="379"/>
        <v>#VALUE!</v>
      </c>
      <c r="AG131" s="92">
        <f t="shared" si="380"/>
        <v>345.146368</v>
      </c>
      <c r="AH131" s="92" t="e">
        <f t="shared" si="381"/>
        <v>#VALUE!</v>
      </c>
      <c r="AI131" s="92">
        <f t="shared" si="382"/>
        <v>285</v>
      </c>
      <c r="AJ131" s="92" t="e">
        <f t="shared" si="383"/>
        <v>#VALUE!</v>
      </c>
      <c r="AK131" s="92" t="e">
        <f t="shared" si="384"/>
        <v>#VALUE!</v>
      </c>
      <c r="AL131" s="92" t="e">
        <f t="shared" si="385"/>
        <v>#VALUE!</v>
      </c>
      <c r="AM131" s="92">
        <f t="shared" si="386"/>
        <v>215</v>
      </c>
      <c r="AN131" s="92" t="e">
        <f t="shared" si="387"/>
        <v>#VALUE!</v>
      </c>
      <c r="AO131" s="92" t="e">
        <f t="shared" si="388"/>
        <v>#VALUE!</v>
      </c>
      <c r="AP131" s="92" t="e">
        <f t="shared" si="389"/>
        <v>#VALUE!</v>
      </c>
      <c r="AQ131" s="92" t="e">
        <f t="shared" si="390"/>
        <v>#VALUE!</v>
      </c>
      <c r="AR131" s="92">
        <f t="shared" si="391"/>
        <v>58372.267691409412</v>
      </c>
      <c r="AS131" s="92" t="e">
        <f t="shared" si="392"/>
        <v>#VALUE!</v>
      </c>
      <c r="AT131" s="92" t="e">
        <f t="shared" si="393"/>
        <v>#VALUE!</v>
      </c>
      <c r="AU131" s="92">
        <v>49</v>
      </c>
      <c r="AV131" s="92" t="e">
        <f t="shared" si="394"/>
        <v>#VALUE!</v>
      </c>
      <c r="AW131" s="282">
        <v>5</v>
      </c>
      <c r="AX131" s="282">
        <f t="shared" si="402"/>
        <v>2</v>
      </c>
      <c r="AY131" s="282">
        <f t="shared" si="403"/>
        <v>0</v>
      </c>
      <c r="AZ131" s="282">
        <f t="shared" si="404"/>
        <v>0</v>
      </c>
      <c r="BA131" s="282">
        <f t="shared" si="405"/>
        <v>0</v>
      </c>
      <c r="BB131" s="302"/>
      <c r="BC131" s="302"/>
      <c r="BD131" s="302"/>
      <c r="BE131" s="302"/>
      <c r="BF131" s="302"/>
      <c r="BG131" s="302"/>
      <c r="BH131" s="302"/>
      <c r="BI131" s="302"/>
      <c r="BJ131" s="338"/>
      <c r="BK131" s="122"/>
    </row>
    <row r="132" spans="1:63" s="101" customFormat="1" ht="24" thickBot="1">
      <c r="A132" s="96"/>
      <c r="B132" s="97"/>
      <c r="C132" s="139"/>
      <c r="D132" s="97"/>
      <c r="E132" s="99"/>
      <c r="F132" s="97"/>
      <c r="G132" s="173">
        <f>SUM(G116:G131)</f>
        <v>582.813311</v>
      </c>
      <c r="H132" s="173">
        <f>SUM(H116:H131)</f>
        <v>65324.461243043763</v>
      </c>
      <c r="I132" s="177"/>
      <c r="J132" s="175">
        <f t="shared" ref="J132:R132" si="406">SUM(J116:J131)</f>
        <v>16331.115310760941</v>
      </c>
      <c r="K132" s="174">
        <f t="shared" si="406"/>
        <v>16</v>
      </c>
      <c r="L132" s="174">
        <f t="shared" si="406"/>
        <v>5</v>
      </c>
      <c r="M132" s="175">
        <f t="shared" si="406"/>
        <v>16331.115310760941</v>
      </c>
      <c r="N132" s="175">
        <f t="shared" si="406"/>
        <v>16331.115310760941</v>
      </c>
      <c r="O132" s="175">
        <f t="shared" si="406"/>
        <v>0</v>
      </c>
      <c r="P132" s="175">
        <f t="shared" si="406"/>
        <v>17147.671076298986</v>
      </c>
      <c r="Q132" s="176">
        <f t="shared" si="406"/>
        <v>0</v>
      </c>
      <c r="R132" s="176">
        <f t="shared" si="406"/>
        <v>0</v>
      </c>
      <c r="S132" s="233"/>
      <c r="T132" s="233"/>
      <c r="U132" s="233"/>
      <c r="V132" s="233"/>
      <c r="W132" s="233"/>
      <c r="X132" s="233"/>
      <c r="Y132" s="97"/>
      <c r="Z132" s="97"/>
      <c r="AA132" s="97"/>
      <c r="AB132" s="97"/>
      <c r="AC132" s="98"/>
      <c r="AD132" s="98"/>
      <c r="AE132" s="98"/>
      <c r="AF132" s="98"/>
      <c r="AG132" s="98"/>
      <c r="AH132" s="98"/>
      <c r="AI132" s="98"/>
      <c r="AJ132" s="98"/>
      <c r="AK132" s="98"/>
      <c r="AL132" s="98"/>
      <c r="AM132" s="98"/>
      <c r="AN132" s="98"/>
      <c r="AO132" s="98"/>
      <c r="AP132" s="98"/>
      <c r="AQ132" s="98"/>
      <c r="AR132" s="98"/>
      <c r="AS132" s="98"/>
      <c r="AT132" s="98"/>
      <c r="AU132" s="98"/>
      <c r="AV132" s="98"/>
      <c r="AW132" s="283"/>
      <c r="AX132" s="283"/>
      <c r="AY132" s="283"/>
      <c r="AZ132" s="283"/>
      <c r="BA132" s="283"/>
      <c r="BB132" s="166"/>
      <c r="BC132" s="122"/>
      <c r="BJ132" s="254"/>
      <c r="BK132" s="122"/>
    </row>
    <row r="133" spans="1:63" s="206" customFormat="1" ht="23.25">
      <c r="A133" s="183"/>
      <c r="B133" s="184">
        <v>16</v>
      </c>
      <c r="C133" s="185" t="s">
        <v>155</v>
      </c>
      <c r="D133" s="186"/>
      <c r="E133" s="187"/>
      <c r="F133" s="186"/>
      <c r="G133" s="188"/>
      <c r="H133" s="188"/>
      <c r="I133" s="186"/>
      <c r="J133" s="198"/>
      <c r="K133" s="199"/>
      <c r="L133" s="199"/>
      <c r="M133" s="198"/>
      <c r="N133" s="198"/>
      <c r="O133" s="200"/>
      <c r="P133" s="198"/>
      <c r="Q133" s="201"/>
      <c r="R133" s="201"/>
      <c r="S133" s="203"/>
      <c r="T133" s="203"/>
      <c r="U133" s="203"/>
      <c r="V133" s="203"/>
      <c r="W133" s="203"/>
      <c r="X133" s="203"/>
      <c r="Y133" s="186"/>
      <c r="Z133" s="186"/>
      <c r="AA133" s="186"/>
      <c r="AB133" s="186"/>
      <c r="AC133" s="189"/>
      <c r="AD133" s="189"/>
      <c r="AE133" s="189"/>
      <c r="AF133" s="189"/>
      <c r="AG133" s="189"/>
      <c r="AH133" s="189"/>
      <c r="AI133" s="189"/>
      <c r="AJ133" s="189"/>
      <c r="AK133" s="189"/>
      <c r="AL133" s="189"/>
      <c r="AM133" s="189"/>
      <c r="AN133" s="189"/>
      <c r="AO133" s="189"/>
      <c r="AP133" s="189"/>
      <c r="AQ133" s="189"/>
      <c r="AR133" s="189"/>
      <c r="AS133" s="189"/>
      <c r="AT133" s="189"/>
      <c r="AU133" s="189"/>
      <c r="AV133" s="189"/>
      <c r="AW133" s="281"/>
      <c r="AX133" s="281"/>
      <c r="AY133" s="281"/>
      <c r="AZ133" s="281"/>
      <c r="BA133" s="281"/>
      <c r="BB133" s="204"/>
      <c r="BC133" s="205"/>
      <c r="BJ133" s="257"/>
      <c r="BK133" s="205"/>
    </row>
    <row r="134" spans="1:63" s="95" customFormat="1" ht="24" customHeight="1">
      <c r="A134" s="90">
        <v>71</v>
      </c>
      <c r="B134" s="300" t="s">
        <v>156</v>
      </c>
      <c r="C134" s="106" t="s">
        <v>157</v>
      </c>
      <c r="D134" s="91">
        <v>10.7</v>
      </c>
      <c r="E134" s="94">
        <v>22.48</v>
      </c>
      <c r="F134" s="91">
        <v>22.474</v>
      </c>
      <c r="G134" s="104">
        <f t="shared" ref="G134:G135" si="407">D134*E134</f>
        <v>240.536</v>
      </c>
      <c r="H134" s="104">
        <f>D134*E134*F134*10.76</f>
        <v>58166.473248640003</v>
      </c>
      <c r="I134" s="91">
        <v>15</v>
      </c>
      <c r="J134" s="92">
        <f>H134*I134/60</f>
        <v>14541.618312160001</v>
      </c>
      <c r="K134" s="91">
        <v>0</v>
      </c>
      <c r="L134" s="91">
        <v>0</v>
      </c>
      <c r="M134" s="92">
        <f>J134*1</f>
        <v>14541.618312160001</v>
      </c>
      <c r="N134" s="92">
        <f>J134*1</f>
        <v>14541.618312160001</v>
      </c>
      <c r="O134" s="93">
        <v>0</v>
      </c>
      <c r="P134" s="92">
        <f t="shared" ref="P134:P135" si="408">MAX(J134,O134)*1.05</f>
        <v>15268.699227768002</v>
      </c>
      <c r="Q134" s="94">
        <v>0</v>
      </c>
      <c r="R134" s="94">
        <v>0</v>
      </c>
      <c r="S134" s="301">
        <f>CEILING(MAX(SUM(Q134:Q135),SUM(R134:R135)),0.5)</f>
        <v>0</v>
      </c>
      <c r="T134" s="304">
        <f>S134*2.4</f>
        <v>0</v>
      </c>
      <c r="U134" s="304">
        <f>T134*0.0630902</f>
        <v>0</v>
      </c>
      <c r="V134" s="304">
        <f>0.26*SQRT(T134)</f>
        <v>0</v>
      </c>
      <c r="W134" s="304">
        <f>CEILING(V134,0.5)</f>
        <v>0</v>
      </c>
      <c r="X134" s="304" t="s">
        <v>106</v>
      </c>
      <c r="Y134" s="91" t="s">
        <v>106</v>
      </c>
      <c r="Z134" s="91" t="s">
        <v>106</v>
      </c>
      <c r="AA134" s="91">
        <v>106</v>
      </c>
      <c r="AB134" s="91" t="s">
        <v>106</v>
      </c>
      <c r="AC134" s="92" t="e">
        <f>(D134+E134)*2*10.76*F134*0.4*(AA134-AB134)</f>
        <v>#VALUE!</v>
      </c>
      <c r="AD134" s="92" t="e">
        <f>(D134+E134)*2*10.76*F134*0.28*(AA134-AB134)</f>
        <v>#VALUE!</v>
      </c>
      <c r="AE134" s="92" t="e">
        <f>D134*E134*0.4*10.76*(AA134-AB134)</f>
        <v>#VALUE!</v>
      </c>
      <c r="AF134" s="92" t="e">
        <f>D134*E134*0.4*10.76*(AA134-AB134)</f>
        <v>#VALUE!</v>
      </c>
      <c r="AG134" s="92">
        <f>D134*E134*1.75*10.76</f>
        <v>4529.29288</v>
      </c>
      <c r="AH134" s="92" t="e">
        <f>L134*(3.5/2)*1.08*0.88*(AA134-AB134)*1000</f>
        <v>#VALUE!</v>
      </c>
      <c r="AI134" s="92">
        <f>K134*285</f>
        <v>0</v>
      </c>
      <c r="AJ134" s="92" t="e">
        <f>(M134+N134)*0.12*1.08*(AA134-AB134)</f>
        <v>#VALUE!</v>
      </c>
      <c r="AK134" s="92" t="e">
        <f t="shared" ref="AK134:AK135" si="409">(AC134+AD134+AE134+AF134)*0+AG134+AH134+AI134+AJ134</f>
        <v>#VALUE!</v>
      </c>
      <c r="AL134" s="92" t="e">
        <f t="shared" ref="AL134:AL135" si="410">AK134*1</f>
        <v>#VALUE!</v>
      </c>
      <c r="AM134" s="92">
        <f>K134*215</f>
        <v>0</v>
      </c>
      <c r="AN134" s="92" t="e">
        <f>(M134+N134)*0.68*0.12*(AA134-AB134)</f>
        <v>#VALUE!</v>
      </c>
      <c r="AO134" s="92" t="e">
        <f t="shared" ref="AO134:AO135" si="411">(AM134+AN134)*1</f>
        <v>#VALUE!</v>
      </c>
      <c r="AP134" s="92" t="e">
        <f t="shared" ref="AP134:AP135" si="412">AO134+AL134</f>
        <v>#VALUE!</v>
      </c>
      <c r="AQ134" s="92" t="e">
        <f>(M134+N134)*0.88*1.08*(AA134-AB134)</f>
        <v>#VALUE!</v>
      </c>
      <c r="AR134" s="92">
        <f>(M134+N134)*0.88*0.68*90</f>
        <v>1566306.7916393783</v>
      </c>
      <c r="AS134" s="92" t="e">
        <f t="shared" ref="AS134:AS135" si="413">AL134+AO134+AQ134+AR134</f>
        <v>#VALUE!</v>
      </c>
      <c r="AT134" s="92" t="e">
        <f t="shared" ref="AT134:AT135" si="414">AS134/12000</f>
        <v>#VALUE!</v>
      </c>
      <c r="AU134" s="92">
        <v>49</v>
      </c>
      <c r="AV134" s="92" t="e">
        <f t="shared" ref="AV134:AV135" si="415">AL134/(1.08*(AA134-AU134))</f>
        <v>#VALUE!</v>
      </c>
      <c r="AW134" s="282">
        <v>5</v>
      </c>
      <c r="AX134" s="282">
        <f>CEILING(IF(AW134=5,P134*1/350,(IF(AWB134=20,P134*1/350,0))),2)</f>
        <v>44</v>
      </c>
      <c r="AY134" s="282">
        <f t="shared" ref="AY134" si="416">CEILING(IF(AW134=100000,P134*1/250,0),2)</f>
        <v>0</v>
      </c>
      <c r="AZ134" s="282">
        <f t="shared" ref="AZ134" si="417">CEILING(IF(AW134=10000,P134*1/225,(IF(AWB134=10000,P134*1/225,0))),2)</f>
        <v>0</v>
      </c>
      <c r="BA134" s="282">
        <f t="shared" ref="BA134:BA135" si="418">CEILING(IF(AW134=1000,P134*1/100,(IF(AWB134=100,P134*1/100,0))),2)</f>
        <v>0</v>
      </c>
      <c r="BB134" s="303">
        <f>CEILING(SUM(P134:P135),50)</f>
        <v>19300</v>
      </c>
      <c r="BC134" s="303">
        <v>90</v>
      </c>
      <c r="BD134" s="327"/>
      <c r="BE134" s="303">
        <v>15</v>
      </c>
      <c r="BF134" s="303">
        <f>CEILING(N136, 25)</f>
        <v>18375</v>
      </c>
      <c r="BG134" s="303">
        <v>50</v>
      </c>
      <c r="BH134" s="327"/>
      <c r="BI134" s="303">
        <v>10</v>
      </c>
      <c r="BJ134" s="336">
        <f>BE134*(750/1000)+S134*0.8+BI134*(750/1000)</f>
        <v>18.75</v>
      </c>
      <c r="BK134" s="115"/>
    </row>
    <row r="135" spans="1:63" s="100" customFormat="1" ht="24" customHeight="1" thickBot="1">
      <c r="A135" s="90">
        <v>72</v>
      </c>
      <c r="B135" s="300"/>
      <c r="C135" s="106" t="s">
        <v>158</v>
      </c>
      <c r="D135" s="91">
        <v>8.2899999999999991</v>
      </c>
      <c r="E135" s="94">
        <v>7.61</v>
      </c>
      <c r="F135" s="91">
        <v>22.474</v>
      </c>
      <c r="G135" s="104">
        <f t="shared" si="407"/>
        <v>63.086899999999993</v>
      </c>
      <c r="H135" s="104">
        <f>D135*E135*F135*10.76</f>
        <v>15255.689298855998</v>
      </c>
      <c r="I135" s="91">
        <v>15</v>
      </c>
      <c r="J135" s="92">
        <f>H135*I135/60</f>
        <v>3813.9223247139994</v>
      </c>
      <c r="K135" s="91">
        <v>0</v>
      </c>
      <c r="L135" s="91">
        <v>0</v>
      </c>
      <c r="M135" s="92">
        <f>J135*1</f>
        <v>3813.9223247139994</v>
      </c>
      <c r="N135" s="92">
        <f t="shared" ref="N135" si="419">J135*1</f>
        <v>3813.9223247139994</v>
      </c>
      <c r="O135" s="93">
        <v>0</v>
      </c>
      <c r="P135" s="92">
        <f t="shared" si="408"/>
        <v>4004.6184409496996</v>
      </c>
      <c r="Q135" s="94">
        <v>0</v>
      </c>
      <c r="R135" s="94">
        <v>0</v>
      </c>
      <c r="S135" s="301"/>
      <c r="T135" s="298"/>
      <c r="U135" s="298"/>
      <c r="V135" s="298"/>
      <c r="W135" s="298"/>
      <c r="X135" s="298"/>
      <c r="Y135" s="91" t="s">
        <v>106</v>
      </c>
      <c r="Z135" s="91" t="s">
        <v>106</v>
      </c>
      <c r="AA135" s="91">
        <v>106</v>
      </c>
      <c r="AB135" s="91" t="s">
        <v>106</v>
      </c>
      <c r="AC135" s="92" t="e">
        <f>(D135+E135)*2*10.76*F135*0.4*(AA135-AB135)</f>
        <v>#VALUE!</v>
      </c>
      <c r="AD135" s="92" t="e">
        <f>(D135+E135)*2*10.76*F135*0.28*(AA135-AB135)</f>
        <v>#VALUE!</v>
      </c>
      <c r="AE135" s="92" t="e">
        <f>D135*E135*0.4*10.76*(AA135-AB135)</f>
        <v>#VALUE!</v>
      </c>
      <c r="AF135" s="92" t="e">
        <f>D135*E135*0.4*10.76*(AA135-AB135)</f>
        <v>#VALUE!</v>
      </c>
      <c r="AG135" s="92">
        <f>D135*E135*1.75*10.76</f>
        <v>1187.9263269999997</v>
      </c>
      <c r="AH135" s="92" t="e">
        <f>L135*(3.5/2)*1.08*0.88*(AA135-AB135)*1000</f>
        <v>#VALUE!</v>
      </c>
      <c r="AI135" s="92">
        <f>K135*285</f>
        <v>0</v>
      </c>
      <c r="AJ135" s="92" t="e">
        <f>(M135+N135)*0.12*1.08*(AA135-AB135)</f>
        <v>#VALUE!</v>
      </c>
      <c r="AK135" s="92" t="e">
        <f t="shared" si="409"/>
        <v>#VALUE!</v>
      </c>
      <c r="AL135" s="92" t="e">
        <f t="shared" si="410"/>
        <v>#VALUE!</v>
      </c>
      <c r="AM135" s="92">
        <f>K135*215</f>
        <v>0</v>
      </c>
      <c r="AN135" s="92" t="e">
        <f>(M135+N135)*0.68*0.12*(AA135-AB135)</f>
        <v>#VALUE!</v>
      </c>
      <c r="AO135" s="92" t="e">
        <f t="shared" si="411"/>
        <v>#VALUE!</v>
      </c>
      <c r="AP135" s="92" t="e">
        <f t="shared" si="412"/>
        <v>#VALUE!</v>
      </c>
      <c r="AQ135" s="92" t="e">
        <f>(M135+N135)*0.88*1.08*(AA135-AB135)</f>
        <v>#VALUE!</v>
      </c>
      <c r="AR135" s="92">
        <f>(M135+N135)*0.88*0.68*90</f>
        <v>410805.20143959433</v>
      </c>
      <c r="AS135" s="92" t="e">
        <f t="shared" si="413"/>
        <v>#VALUE!</v>
      </c>
      <c r="AT135" s="92" t="e">
        <f t="shared" si="414"/>
        <v>#VALUE!</v>
      </c>
      <c r="AU135" s="92">
        <v>49</v>
      </c>
      <c r="AV135" s="92" t="e">
        <f t="shared" si="415"/>
        <v>#VALUE!</v>
      </c>
      <c r="AW135" s="282">
        <v>5</v>
      </c>
      <c r="AX135" s="282">
        <f>CEILING(IF(AW135=5,P135*1/350,(IF(AWB135=20,P135*1/350,0))),2)</f>
        <v>12</v>
      </c>
      <c r="AY135" s="282">
        <f t="shared" ref="AY135" si="420">CEILING(IF(AW135=100000,P135*1/250,0),2)</f>
        <v>0</v>
      </c>
      <c r="AZ135" s="282">
        <f t="shared" ref="AZ135" si="421">CEILING(IF(AW135=10000,P135*1/225,(IF(AWB135=10000,P135*1/225,0))),2)</f>
        <v>0</v>
      </c>
      <c r="BA135" s="282">
        <f t="shared" si="418"/>
        <v>0</v>
      </c>
      <c r="BB135" s="303"/>
      <c r="BC135" s="303"/>
      <c r="BD135" s="327"/>
      <c r="BE135" s="303"/>
      <c r="BF135" s="303"/>
      <c r="BG135" s="303"/>
      <c r="BH135" s="327"/>
      <c r="BI135" s="303"/>
      <c r="BJ135" s="336"/>
      <c r="BK135" s="116"/>
    </row>
    <row r="136" spans="1:63" s="89" customFormat="1" ht="15.75" thickBot="1">
      <c r="A136" s="96"/>
      <c r="B136" s="97"/>
      <c r="C136" s="141"/>
      <c r="D136" s="97"/>
      <c r="E136" s="99"/>
      <c r="F136" s="97"/>
      <c r="G136" s="173">
        <f t="shared" ref="G136:R136" si="422">SUM(G134:G135)</f>
        <v>303.62290000000002</v>
      </c>
      <c r="H136" s="173">
        <f t="shared" si="422"/>
        <v>73422.162547496002</v>
      </c>
      <c r="I136" s="174"/>
      <c r="J136" s="175">
        <f t="shared" si="422"/>
        <v>18355.540636874</v>
      </c>
      <c r="K136" s="174"/>
      <c r="L136" s="174"/>
      <c r="M136" s="175">
        <f t="shared" si="422"/>
        <v>18355.540636874</v>
      </c>
      <c r="N136" s="175">
        <f t="shared" si="422"/>
        <v>18355.540636874</v>
      </c>
      <c r="O136" s="175">
        <f t="shared" si="422"/>
        <v>0</v>
      </c>
      <c r="P136" s="175">
        <f t="shared" si="422"/>
        <v>19273.3176687177</v>
      </c>
      <c r="Q136" s="176">
        <f t="shared" si="422"/>
        <v>0</v>
      </c>
      <c r="R136" s="176">
        <f t="shared" si="422"/>
        <v>0</v>
      </c>
      <c r="S136" s="233"/>
      <c r="T136" s="233"/>
      <c r="U136" s="233"/>
      <c r="V136" s="233"/>
      <c r="W136" s="233"/>
      <c r="X136" s="233"/>
      <c r="Y136" s="97"/>
      <c r="Z136" s="97"/>
      <c r="AA136" s="97"/>
      <c r="AB136" s="97"/>
      <c r="AC136" s="98"/>
      <c r="AD136" s="98"/>
      <c r="AE136" s="98"/>
      <c r="AF136" s="98"/>
      <c r="AG136" s="98"/>
      <c r="AH136" s="98"/>
      <c r="AI136" s="98"/>
      <c r="AJ136" s="98"/>
      <c r="AK136" s="98"/>
      <c r="AL136" s="98"/>
      <c r="AM136" s="98"/>
      <c r="AN136" s="98"/>
      <c r="AO136" s="98"/>
      <c r="AP136" s="98"/>
      <c r="AQ136" s="98"/>
      <c r="AR136" s="98"/>
      <c r="AS136" s="98"/>
      <c r="AT136" s="98"/>
      <c r="AU136" s="98"/>
      <c r="AV136" s="98"/>
      <c r="AW136" s="283"/>
      <c r="AX136" s="283"/>
      <c r="AY136" s="283"/>
      <c r="AZ136" s="283"/>
      <c r="BA136" s="283"/>
      <c r="BB136" s="124"/>
      <c r="BC136" s="122"/>
      <c r="BD136" s="101"/>
      <c r="BE136" s="101"/>
      <c r="BF136" s="101"/>
      <c r="BG136" s="101"/>
      <c r="BH136" s="101"/>
      <c r="BI136" s="101"/>
      <c r="BJ136" s="258"/>
      <c r="BK136" s="114"/>
    </row>
    <row r="137" spans="1:63" s="101" customFormat="1" ht="15.75" thickBot="1">
      <c r="A137" s="223"/>
      <c r="B137" s="224"/>
      <c r="C137" s="225"/>
      <c r="D137" s="224"/>
      <c r="E137" s="226"/>
      <c r="F137" s="224"/>
      <c r="G137" s="227"/>
      <c r="H137" s="227"/>
      <c r="I137" s="224"/>
      <c r="J137" s="228"/>
      <c r="K137" s="137"/>
      <c r="L137" s="137"/>
      <c r="M137" s="228"/>
      <c r="N137" s="228"/>
      <c r="O137" s="229"/>
      <c r="P137" s="228"/>
      <c r="Q137" s="230"/>
      <c r="R137" s="230"/>
      <c r="S137" s="226"/>
      <c r="T137" s="226"/>
      <c r="U137" s="226"/>
      <c r="V137" s="226"/>
      <c r="W137" s="226"/>
      <c r="X137" s="226"/>
      <c r="Y137" s="224"/>
      <c r="Z137" s="224"/>
      <c r="AA137" s="224"/>
      <c r="AB137" s="224"/>
      <c r="AC137" s="231"/>
      <c r="AD137" s="231"/>
      <c r="AE137" s="231"/>
      <c r="AF137" s="231"/>
      <c r="AG137" s="231"/>
      <c r="AH137" s="231"/>
      <c r="AI137" s="231"/>
      <c r="AJ137" s="231"/>
      <c r="AK137" s="231"/>
      <c r="AL137" s="231"/>
      <c r="AM137" s="231"/>
      <c r="AN137" s="231"/>
      <c r="AO137" s="231"/>
      <c r="AP137" s="231"/>
      <c r="AQ137" s="231"/>
      <c r="AR137" s="231"/>
      <c r="AS137" s="231"/>
      <c r="AT137" s="231"/>
      <c r="AU137" s="231"/>
      <c r="AV137" s="231"/>
      <c r="AW137" s="288"/>
      <c r="AX137" s="288"/>
      <c r="AY137" s="288"/>
      <c r="AZ137" s="288"/>
      <c r="BA137" s="288"/>
      <c r="BB137" s="232"/>
      <c r="BC137" s="123"/>
      <c r="BD137" s="111"/>
      <c r="BE137" s="111"/>
      <c r="BF137" s="111"/>
      <c r="BG137" s="111"/>
      <c r="BH137" s="111"/>
      <c r="BI137" s="111"/>
      <c r="BJ137" s="258"/>
      <c r="BK137" s="122"/>
    </row>
    <row r="138" spans="1:63" s="101" customFormat="1" ht="72" customHeight="1" thickBot="1">
      <c r="A138" s="261"/>
      <c r="B138" s="262"/>
      <c r="C138" s="263"/>
      <c r="D138" s="262"/>
      <c r="E138" s="264"/>
      <c r="F138" s="262"/>
      <c r="G138" s="265">
        <f>G26+G34+G39+G45+G51+G56+G62+G68+G72+G82+G89+G99+G114+G108+G132+G136</f>
        <v>2160.6661340000001</v>
      </c>
      <c r="H138" s="265">
        <f>H26+H34+H39+H45+H51+H56+H62+H68+H72+H82+H89+H99+H114+H108+H132+H136</f>
        <v>278551.64171681867</v>
      </c>
      <c r="I138" s="266"/>
      <c r="J138" s="265">
        <f t="shared" ref="J138:R138" si="423">J26+J34+J39+J45+J51+J56+J62+J68+J72+J82+J89+J99+J114+J108+J132+J136</f>
        <v>94432.1393071762</v>
      </c>
      <c r="K138" s="265">
        <f t="shared" si="423"/>
        <v>52</v>
      </c>
      <c r="L138" s="265">
        <f t="shared" si="423"/>
        <v>97.800000000000011</v>
      </c>
      <c r="M138" s="265">
        <f t="shared" si="423"/>
        <v>57030.007655638343</v>
      </c>
      <c r="N138" s="265">
        <f t="shared" si="423"/>
        <v>55444.67484391031</v>
      </c>
      <c r="O138" s="265">
        <f t="shared" si="423"/>
        <v>76039.45541610186</v>
      </c>
      <c r="P138" s="265">
        <f t="shared" si="423"/>
        <v>150127.0067261357</v>
      </c>
      <c r="Q138" s="265">
        <f t="shared" si="423"/>
        <v>438.26855541865768</v>
      </c>
      <c r="R138" s="265">
        <f t="shared" si="423"/>
        <v>236.52270178432053</v>
      </c>
      <c r="S138" s="265">
        <f>SUM(S17:S132)</f>
        <v>446</v>
      </c>
      <c r="T138" s="265">
        <f>T134+T116+T110+T101+T91+T84+T74+T70+T66+T58+T53+T47+T41+T36+T28+T18</f>
        <v>1070.4000000000001</v>
      </c>
      <c r="U138" s="265">
        <f>U134+U116+U110+U101+U91+U84+U74+T70+U66+U58+U53+U47+U41+U36+U28+U18</f>
        <v>67.531750079999995</v>
      </c>
      <c r="V138" s="265">
        <f>AX138</f>
        <v>206</v>
      </c>
      <c r="W138" s="265">
        <f>AY138</f>
        <v>416</v>
      </c>
      <c r="X138" s="265">
        <f>AZ138</f>
        <v>0</v>
      </c>
      <c r="Y138" s="292">
        <f>BA138</f>
        <v>0</v>
      </c>
      <c r="Z138" s="293">
        <f>SUM(AX138:BA138)*2*1.05</f>
        <v>1306.2</v>
      </c>
      <c r="AA138" s="293">
        <f>SUM(AX138:BA138)*2*1.25</f>
        <v>1555</v>
      </c>
      <c r="AB138" s="267"/>
      <c r="AC138" s="268"/>
      <c r="AD138" s="268"/>
      <c r="AE138" s="268"/>
      <c r="AF138" s="268"/>
      <c r="AG138" s="268"/>
      <c r="AH138" s="268"/>
      <c r="AI138" s="268"/>
      <c r="AJ138" s="268"/>
      <c r="AK138" s="268"/>
      <c r="AL138" s="268"/>
      <c r="AM138" s="268"/>
      <c r="AN138" s="268"/>
      <c r="AO138" s="268"/>
      <c r="AP138" s="268"/>
      <c r="AQ138" s="268"/>
      <c r="AR138" s="268"/>
      <c r="AS138" s="268"/>
      <c r="AT138" s="268"/>
      <c r="AU138" s="268"/>
      <c r="AV138" s="268"/>
      <c r="AW138" s="268"/>
      <c r="AX138" s="292">
        <f>SUM(AX17:AX137)</f>
        <v>206</v>
      </c>
      <c r="AY138" s="292">
        <f t="shared" ref="AY138:BA138" si="424">SUM(AY17:AY137)</f>
        <v>416</v>
      </c>
      <c r="AZ138" s="292">
        <f t="shared" si="424"/>
        <v>0</v>
      </c>
      <c r="BA138" s="292">
        <f t="shared" si="424"/>
        <v>0</v>
      </c>
      <c r="BB138" s="266"/>
      <c r="BC138" s="269"/>
      <c r="BD138" s="269"/>
      <c r="BE138" s="265">
        <f>BE134+BE116+BE110+BE101+BE91+BE84+BE74+T70+BE66+BE58+BE53+BE47+BE41+BE36+BE28+BE18</f>
        <v>206.5</v>
      </c>
      <c r="BF138" s="269"/>
      <c r="BG138" s="269"/>
      <c r="BH138" s="269"/>
      <c r="BI138" s="265">
        <f>BI134+BI116+BI110+BI101+BI91+BI84+BI74+T70+BI66+BI58+BI53+BI47+BI41+BI36+BI28+BI18</f>
        <v>36.5</v>
      </c>
      <c r="BJ138" s="270">
        <f>BJ134+BJ116+BJ110+BJ101+BJ91+BJ84+BJ74+T70+BJ66+BJ58+BJ53+BJ47+BJ41+BJ36+BJ28+BJ18</f>
        <v>539.04999999999995</v>
      </c>
      <c r="BK138" s="122"/>
    </row>
    <row r="139" spans="1:63" ht="19.5" customHeight="1">
      <c r="A139" s="332"/>
      <c r="B139" s="330"/>
      <c r="C139" s="330"/>
      <c r="D139" s="330"/>
      <c r="E139" s="330"/>
      <c r="F139" s="330"/>
      <c r="G139" s="330" t="s">
        <v>46</v>
      </c>
      <c r="H139" s="330" t="s">
        <v>47</v>
      </c>
      <c r="I139" s="330" t="s">
        <v>48</v>
      </c>
      <c r="J139" s="330" t="s">
        <v>49</v>
      </c>
      <c r="K139" s="330" t="s">
        <v>50</v>
      </c>
      <c r="L139" s="330" t="s">
        <v>51</v>
      </c>
      <c r="M139" s="330" t="s">
        <v>52</v>
      </c>
      <c r="N139" s="330" t="s">
        <v>53</v>
      </c>
      <c r="O139" s="330" t="s">
        <v>54</v>
      </c>
      <c r="P139" s="330" t="s">
        <v>55</v>
      </c>
      <c r="Q139" s="330" t="s">
        <v>159</v>
      </c>
      <c r="R139" s="330" t="s">
        <v>57</v>
      </c>
      <c r="S139" s="259"/>
      <c r="T139" s="330" t="s">
        <v>59</v>
      </c>
      <c r="U139" s="330" t="s">
        <v>60</v>
      </c>
      <c r="V139" s="330" t="s">
        <v>160</v>
      </c>
      <c r="W139" s="330" t="s">
        <v>161</v>
      </c>
      <c r="X139" s="330" t="s">
        <v>162</v>
      </c>
      <c r="Y139" s="330" t="s">
        <v>163</v>
      </c>
      <c r="Z139" s="330" t="s">
        <v>164</v>
      </c>
      <c r="AA139" s="330" t="s">
        <v>165</v>
      </c>
      <c r="AB139" s="330" t="s">
        <v>67</v>
      </c>
      <c r="AC139" s="260"/>
      <c r="AD139" s="260"/>
      <c r="AE139" s="260"/>
      <c r="AF139" s="260"/>
      <c r="AG139" s="260"/>
      <c r="AH139" s="260"/>
      <c r="AI139" s="260"/>
      <c r="AJ139" s="260"/>
      <c r="AK139" s="260"/>
      <c r="AL139" s="260"/>
      <c r="AM139" s="260"/>
      <c r="AN139" s="260"/>
      <c r="AO139" s="260"/>
      <c r="AP139" s="260"/>
      <c r="AQ139" s="260"/>
      <c r="AR139" s="260"/>
      <c r="AS139" s="260"/>
      <c r="AT139" s="260"/>
      <c r="AU139" s="260"/>
      <c r="AV139" s="260"/>
      <c r="AW139" s="291"/>
      <c r="AX139" s="291"/>
      <c r="AY139" s="291"/>
      <c r="AZ139" s="291"/>
      <c r="BA139" s="291"/>
      <c r="BB139" s="337" t="s">
        <v>68</v>
      </c>
      <c r="BC139" s="337"/>
      <c r="BD139" s="337"/>
      <c r="BE139" s="337"/>
      <c r="BF139" s="337" t="s">
        <v>69</v>
      </c>
      <c r="BG139" s="337"/>
      <c r="BH139" s="337"/>
      <c r="BI139" s="337"/>
      <c r="BJ139" s="271"/>
    </row>
    <row r="140" spans="1:63" s="102" customFormat="1" ht="87.75" customHeight="1" thickBot="1">
      <c r="A140" s="333"/>
      <c r="B140" s="331"/>
      <c r="C140" s="331"/>
      <c r="D140" s="331"/>
      <c r="E140" s="331"/>
      <c r="F140" s="331"/>
      <c r="G140" s="331"/>
      <c r="H140" s="331"/>
      <c r="I140" s="331"/>
      <c r="J140" s="331"/>
      <c r="K140" s="331"/>
      <c r="L140" s="331"/>
      <c r="M140" s="331"/>
      <c r="N140" s="331"/>
      <c r="O140" s="331"/>
      <c r="P140" s="331"/>
      <c r="Q140" s="331"/>
      <c r="R140" s="331"/>
      <c r="S140" s="272" t="s">
        <v>166</v>
      </c>
      <c r="T140" s="331"/>
      <c r="U140" s="331"/>
      <c r="V140" s="331"/>
      <c r="W140" s="331"/>
      <c r="X140" s="331"/>
      <c r="Y140" s="331"/>
      <c r="Z140" s="331"/>
      <c r="AA140" s="331"/>
      <c r="AB140" s="331"/>
      <c r="AC140" s="273" t="s">
        <v>71</v>
      </c>
      <c r="AD140" s="273" t="s">
        <v>72</v>
      </c>
      <c r="AE140" s="273" t="s">
        <v>73</v>
      </c>
      <c r="AF140" s="273" t="s">
        <v>74</v>
      </c>
      <c r="AG140" s="273" t="s">
        <v>75</v>
      </c>
      <c r="AH140" s="273" t="s">
        <v>76</v>
      </c>
      <c r="AI140" s="273" t="s">
        <v>77</v>
      </c>
      <c r="AJ140" s="273" t="s">
        <v>78</v>
      </c>
      <c r="AK140" s="273" t="s">
        <v>79</v>
      </c>
      <c r="AL140" s="273" t="s">
        <v>80</v>
      </c>
      <c r="AM140" s="273" t="s">
        <v>77</v>
      </c>
      <c r="AN140" s="273" t="s">
        <v>78</v>
      </c>
      <c r="AO140" s="273" t="s">
        <v>81</v>
      </c>
      <c r="AP140" s="273" t="s">
        <v>82</v>
      </c>
      <c r="AQ140" s="273" t="s">
        <v>83</v>
      </c>
      <c r="AR140" s="273" t="s">
        <v>84</v>
      </c>
      <c r="AS140" s="273" t="s">
        <v>85</v>
      </c>
      <c r="AT140" s="273" t="s">
        <v>86</v>
      </c>
      <c r="AU140" s="273" t="s">
        <v>87</v>
      </c>
      <c r="AV140" s="273" t="s">
        <v>88</v>
      </c>
      <c r="AW140" s="290" t="s">
        <v>167</v>
      </c>
      <c r="AX140" s="273" t="s">
        <v>168</v>
      </c>
      <c r="AY140" s="273" t="s">
        <v>169</v>
      </c>
      <c r="AZ140" s="273" t="s">
        <v>170</v>
      </c>
      <c r="BA140" s="273" t="s">
        <v>171</v>
      </c>
      <c r="BB140" s="274" t="s">
        <v>172</v>
      </c>
      <c r="BC140" s="275"/>
      <c r="BD140" s="275"/>
      <c r="BE140" s="275" t="s">
        <v>97</v>
      </c>
      <c r="BF140" s="276" t="s">
        <v>94</v>
      </c>
      <c r="BG140" s="275"/>
      <c r="BH140" s="275"/>
      <c r="BI140" s="275" t="s">
        <v>13</v>
      </c>
      <c r="BJ140" s="277" t="s">
        <v>173</v>
      </c>
      <c r="BK140" s="112"/>
    </row>
    <row r="141" spans="1:63" s="101" customFormat="1" ht="16.5" thickBot="1">
      <c r="A141" s="144"/>
      <c r="B141" s="144"/>
      <c r="C141" s="218"/>
      <c r="D141" s="144"/>
      <c r="E141" s="145"/>
      <c r="F141" s="144"/>
      <c r="G141" s="146"/>
      <c r="H141" s="146"/>
      <c r="I141" s="144"/>
      <c r="J141" s="151"/>
      <c r="K141" s="144"/>
      <c r="L141" s="144"/>
      <c r="M141" s="151"/>
      <c r="N141" s="151"/>
      <c r="O141" s="153"/>
      <c r="P141" s="151"/>
      <c r="Q141" s="145"/>
      <c r="R141" s="145"/>
      <c r="S141" s="154"/>
      <c r="T141" s="150"/>
      <c r="U141" s="150"/>
      <c r="V141" s="150"/>
      <c r="W141" s="150"/>
      <c r="X141" s="150"/>
      <c r="Y141" s="144"/>
      <c r="Z141" s="144"/>
      <c r="AA141" s="144"/>
      <c r="AB141" s="144"/>
      <c r="AC141" s="151"/>
      <c r="AD141" s="151"/>
      <c r="AE141" s="151"/>
      <c r="AF141" s="151"/>
      <c r="AG141" s="151"/>
      <c r="AH141" s="151"/>
      <c r="AI141" s="151"/>
      <c r="AJ141" s="151"/>
      <c r="AK141" s="151"/>
      <c r="AL141" s="151"/>
      <c r="AM141" s="151"/>
      <c r="AN141" s="151"/>
      <c r="AO141" s="151"/>
      <c r="AP141" s="151"/>
      <c r="AQ141" s="151"/>
      <c r="AR141" s="151"/>
      <c r="AS141" s="151"/>
      <c r="AT141" s="151"/>
      <c r="AU141" s="151"/>
      <c r="AV141" s="151"/>
      <c r="AW141" s="151"/>
      <c r="AX141" s="151"/>
      <c r="AY141" s="151"/>
      <c r="AZ141" s="151"/>
      <c r="BA141" s="151"/>
      <c r="BB141" s="155"/>
      <c r="BC141"/>
      <c r="BD141"/>
      <c r="BE141"/>
      <c r="BF141"/>
      <c r="BG141"/>
      <c r="BH141"/>
      <c r="BI141"/>
      <c r="BJ141"/>
      <c r="BK141" s="122"/>
    </row>
    <row r="142" spans="1:63" s="101" customFormat="1" ht="16.5" thickBot="1">
      <c r="A142" s="144"/>
      <c r="B142" s="144"/>
      <c r="C142" s="218"/>
      <c r="D142" s="144"/>
      <c r="E142" s="145"/>
      <c r="F142" s="144"/>
      <c r="G142" s="146"/>
      <c r="H142" s="146"/>
      <c r="I142" s="144"/>
      <c r="J142" s="147"/>
      <c r="K142" s="148"/>
      <c r="L142" s="148"/>
      <c r="M142" s="147"/>
      <c r="N142" s="147"/>
      <c r="O142" s="149"/>
      <c r="P142" s="147"/>
      <c r="Q142" s="150"/>
      <c r="R142" s="150"/>
      <c r="S142" s="145"/>
      <c r="T142" s="145"/>
      <c r="U142" s="145"/>
      <c r="V142" s="145"/>
      <c r="W142" s="145"/>
      <c r="X142" s="145"/>
      <c r="Y142" s="144"/>
      <c r="Z142" s="144"/>
      <c r="AA142" s="144"/>
      <c r="AB142" s="144"/>
      <c r="AC142" s="151"/>
      <c r="AD142" s="151"/>
      <c r="AE142" s="151"/>
      <c r="AF142" s="151"/>
      <c r="AG142" s="151"/>
      <c r="AH142" s="151"/>
      <c r="AI142" s="151"/>
      <c r="AJ142" s="151"/>
      <c r="AK142" s="151"/>
      <c r="AL142" s="151"/>
      <c r="AM142" s="151"/>
      <c r="AN142" s="151"/>
      <c r="AO142" s="151"/>
      <c r="AP142" s="151"/>
      <c r="AQ142" s="151"/>
      <c r="AR142" s="151"/>
      <c r="AS142" s="151"/>
      <c r="AT142" s="151"/>
      <c r="AU142" s="151"/>
      <c r="AV142" s="151"/>
      <c r="AW142" s="151"/>
      <c r="AX142" s="151"/>
      <c r="AY142" s="151"/>
      <c r="AZ142" s="151"/>
      <c r="BA142" s="151"/>
      <c r="BB142" s="144"/>
      <c r="BC142"/>
      <c r="BD142"/>
      <c r="BE142"/>
      <c r="BF142"/>
      <c r="BG142"/>
      <c r="BH142"/>
      <c r="BI142"/>
      <c r="BJ142"/>
      <c r="BK142" s="122"/>
    </row>
    <row r="143" spans="1:63" s="101" customFormat="1" ht="16.5" thickBot="1">
      <c r="A143" s="144"/>
      <c r="B143" s="144"/>
      <c r="C143" s="219"/>
      <c r="D143" s="144"/>
      <c r="E143" s="145"/>
      <c r="F143" s="144"/>
      <c r="G143" s="146"/>
      <c r="H143" s="146"/>
      <c r="I143" s="144"/>
      <c r="J143" s="151"/>
      <c r="K143" s="144"/>
      <c r="L143" s="144"/>
      <c r="M143" s="151"/>
      <c r="N143" s="151"/>
      <c r="O143" s="153"/>
      <c r="P143" s="151"/>
      <c r="Q143" s="145"/>
      <c r="R143" s="145"/>
      <c r="S143" s="154"/>
      <c r="T143" s="154"/>
      <c r="U143" s="154"/>
      <c r="V143" s="154"/>
      <c r="W143" s="154"/>
      <c r="X143" s="154"/>
      <c r="Y143" s="144"/>
      <c r="Z143" s="144"/>
      <c r="AA143" s="144"/>
      <c r="AB143" s="144"/>
      <c r="AC143" s="151"/>
      <c r="AD143" s="151"/>
      <c r="AE143" s="151"/>
      <c r="AF143" s="151"/>
      <c r="AG143" s="151"/>
      <c r="AH143" s="151"/>
      <c r="AI143" s="151"/>
      <c r="AJ143" s="151"/>
      <c r="AK143" s="151"/>
      <c r="AL143" s="151"/>
      <c r="AM143" s="151"/>
      <c r="AN143" s="151"/>
      <c r="AO143" s="151"/>
      <c r="AP143" s="151"/>
      <c r="AQ143" s="151"/>
      <c r="AR143" s="151"/>
      <c r="AS143" s="151"/>
      <c r="AT143" s="151"/>
      <c r="AU143" s="151"/>
      <c r="AV143" s="151"/>
      <c r="AW143" s="151"/>
      <c r="AX143" s="151"/>
      <c r="AY143" s="151"/>
      <c r="AZ143" s="151"/>
      <c r="BA143" s="151"/>
      <c r="BB143" s="155"/>
      <c r="BC143"/>
      <c r="BD143"/>
      <c r="BE143"/>
      <c r="BF143"/>
      <c r="BG143"/>
      <c r="BH143"/>
      <c r="BI143"/>
      <c r="BJ143"/>
      <c r="BK143" s="122"/>
    </row>
    <row r="144" spans="1:63" s="101" customFormat="1" ht="16.5" thickBot="1">
      <c r="A144" s="144"/>
      <c r="B144" s="144"/>
      <c r="C144" s="220"/>
      <c r="D144" s="144"/>
      <c r="E144" s="145"/>
      <c r="F144" s="144"/>
      <c r="G144" s="146"/>
      <c r="H144" s="146"/>
      <c r="I144" s="144"/>
      <c r="J144" s="151"/>
      <c r="K144" s="144"/>
      <c r="L144" s="144"/>
      <c r="M144" s="151"/>
      <c r="N144" s="151"/>
      <c r="O144" s="153"/>
      <c r="P144" s="151"/>
      <c r="Q144" s="145"/>
      <c r="R144" s="145"/>
      <c r="S144" s="154"/>
      <c r="T144" s="154"/>
      <c r="U144" s="154"/>
      <c r="V144" s="154"/>
      <c r="W144" s="154"/>
      <c r="X144" s="154"/>
      <c r="Y144" s="144"/>
      <c r="Z144" s="144"/>
      <c r="AA144" s="144"/>
      <c r="AB144" s="144"/>
      <c r="AC144" s="151"/>
      <c r="AD144" s="151"/>
      <c r="AE144" s="151"/>
      <c r="AF144" s="151"/>
      <c r="AG144" s="151"/>
      <c r="AH144" s="151"/>
      <c r="AI144" s="151"/>
      <c r="AJ144" s="151"/>
      <c r="AK144" s="151"/>
      <c r="AL144" s="151"/>
      <c r="AM144" s="151"/>
      <c r="AN144" s="151"/>
      <c r="AO144" s="151"/>
      <c r="AP144" s="151"/>
      <c r="AQ144" s="151"/>
      <c r="AR144" s="151"/>
      <c r="AS144" s="151"/>
      <c r="AT144" s="151"/>
      <c r="AU144" s="151"/>
      <c r="AV144" s="151"/>
      <c r="AW144" s="151"/>
      <c r="AX144" s="151"/>
      <c r="AY144" s="151"/>
      <c r="AZ144" s="151"/>
      <c r="BA144" s="151"/>
      <c r="BB144" s="155"/>
      <c r="BC144"/>
      <c r="BD144"/>
      <c r="BE144"/>
      <c r="BF144"/>
      <c r="BG144"/>
      <c r="BH144"/>
      <c r="BI144"/>
      <c r="BJ144"/>
      <c r="BK144" s="122"/>
    </row>
    <row r="145" spans="1:63" s="101" customFormat="1" ht="16.5" thickBot="1">
      <c r="A145" s="144"/>
      <c r="B145" s="144"/>
      <c r="C145" s="218"/>
      <c r="D145" s="144"/>
      <c r="E145" s="145"/>
      <c r="F145" s="144"/>
      <c r="G145" s="146"/>
      <c r="H145" s="146"/>
      <c r="I145" s="144"/>
      <c r="J145" s="151"/>
      <c r="K145" s="144"/>
      <c r="L145" s="144"/>
      <c r="M145" s="151"/>
      <c r="N145" s="151"/>
      <c r="O145" s="153"/>
      <c r="P145" s="151"/>
      <c r="Q145" s="145"/>
      <c r="R145" s="145"/>
      <c r="S145" s="154"/>
      <c r="T145" s="154"/>
      <c r="U145" s="154"/>
      <c r="V145" s="154"/>
      <c r="W145" s="154"/>
      <c r="X145" s="154"/>
      <c r="Y145" s="144"/>
      <c r="Z145" s="144"/>
      <c r="AA145" s="144"/>
      <c r="AB145" s="144"/>
      <c r="AC145" s="151"/>
      <c r="AD145" s="151"/>
      <c r="AE145" s="151"/>
      <c r="AF145" s="151"/>
      <c r="AG145" s="151"/>
      <c r="AH145" s="151"/>
      <c r="AI145" s="151"/>
      <c r="AJ145" s="151"/>
      <c r="AK145" s="151"/>
      <c r="AL145" s="151"/>
      <c r="AM145" s="151"/>
      <c r="AN145" s="151"/>
      <c r="AO145" s="151"/>
      <c r="AP145" s="151"/>
      <c r="AQ145" s="151"/>
      <c r="AR145" s="151"/>
      <c r="AS145" s="151"/>
      <c r="AT145" s="151"/>
      <c r="AU145" s="151"/>
      <c r="AV145" s="151"/>
      <c r="AW145" s="151"/>
      <c r="AX145" s="151"/>
      <c r="AY145" s="151"/>
      <c r="AZ145" s="151"/>
      <c r="BA145" s="151"/>
      <c r="BB145" s="155"/>
      <c r="BC145"/>
      <c r="BD145"/>
      <c r="BE145"/>
      <c r="BF145"/>
      <c r="BG145"/>
      <c r="BH145"/>
      <c r="BI145"/>
      <c r="BJ145"/>
      <c r="BK145" s="122"/>
    </row>
    <row r="146" spans="1:63" s="101" customFormat="1" ht="15.75" thickBot="1">
      <c r="A146" s="144"/>
      <c r="B146" s="144"/>
      <c r="C146" s="152"/>
      <c r="D146" s="144"/>
      <c r="E146" s="145"/>
      <c r="F146" s="144"/>
      <c r="G146" s="146"/>
      <c r="H146" s="146"/>
      <c r="I146" s="144"/>
      <c r="J146" s="151"/>
      <c r="K146" s="144"/>
      <c r="L146" s="144"/>
      <c r="M146" s="151"/>
      <c r="N146" s="151"/>
      <c r="O146" s="153"/>
      <c r="P146" s="151"/>
      <c r="Q146" s="145"/>
      <c r="R146" s="145"/>
      <c r="S146" s="154"/>
      <c r="T146" s="154"/>
      <c r="U146" s="154"/>
      <c r="V146" s="154"/>
      <c r="W146" s="154"/>
      <c r="X146" s="154"/>
      <c r="Y146" s="144"/>
      <c r="Z146" s="144"/>
      <c r="AA146" s="144"/>
      <c r="AB146" s="144"/>
      <c r="AC146" s="151"/>
      <c r="AD146" s="151"/>
      <c r="AE146" s="151"/>
      <c r="AF146" s="151"/>
      <c r="AG146" s="151"/>
      <c r="AH146" s="151"/>
      <c r="AI146" s="151"/>
      <c r="AJ146" s="151"/>
      <c r="AK146" s="151"/>
      <c r="AL146" s="151"/>
      <c r="AM146" s="151"/>
      <c r="AN146" s="151"/>
      <c r="AO146" s="151"/>
      <c r="AP146" s="151"/>
      <c r="AQ146" s="151"/>
      <c r="AR146" s="151"/>
      <c r="AS146" s="151"/>
      <c r="AT146" s="151"/>
      <c r="AU146" s="151"/>
      <c r="AV146" s="151"/>
      <c r="AW146" s="151"/>
      <c r="AX146" s="151"/>
      <c r="AY146" s="151"/>
      <c r="AZ146" s="151"/>
      <c r="BA146" s="151"/>
      <c r="BB146" s="155"/>
      <c r="BC146"/>
      <c r="BD146"/>
      <c r="BE146"/>
      <c r="BF146"/>
      <c r="BG146"/>
      <c r="BH146"/>
      <c r="BI146"/>
      <c r="BJ146"/>
      <c r="BK146" s="122"/>
    </row>
    <row r="147" spans="1:63" s="101" customFormat="1" ht="15.75" thickBot="1">
      <c r="A147" s="144"/>
      <c r="B147" s="144"/>
      <c r="C147" s="152"/>
      <c r="D147" s="144"/>
      <c r="E147" s="145"/>
      <c r="F147" s="144"/>
      <c r="G147" s="146"/>
      <c r="H147" s="146"/>
      <c r="I147" s="144"/>
      <c r="J147" s="151"/>
      <c r="K147" s="144"/>
      <c r="L147" s="144"/>
      <c r="M147" s="151"/>
      <c r="N147" s="151"/>
      <c r="O147" s="153"/>
      <c r="P147" s="151"/>
      <c r="Q147" s="145"/>
      <c r="R147" s="145"/>
      <c r="S147" s="154"/>
      <c r="T147" s="154"/>
      <c r="U147" s="154"/>
      <c r="V147" s="154"/>
      <c r="W147" s="154"/>
      <c r="X147" s="154"/>
      <c r="Y147" s="144"/>
      <c r="Z147" s="144"/>
      <c r="AA147" s="144"/>
      <c r="AB147" s="144"/>
      <c r="AC147" s="151"/>
      <c r="AD147" s="151"/>
      <c r="AE147" s="151"/>
      <c r="AF147" s="151"/>
      <c r="AG147" s="151"/>
      <c r="AH147" s="151"/>
      <c r="AI147" s="151"/>
      <c r="AJ147" s="151"/>
      <c r="AK147" s="151"/>
      <c r="AL147" s="151"/>
      <c r="AM147" s="151"/>
      <c r="AN147" s="151"/>
      <c r="AO147" s="151"/>
      <c r="AP147" s="151"/>
      <c r="AQ147" s="151"/>
      <c r="AR147" s="151"/>
      <c r="AS147" s="151"/>
      <c r="AT147" s="151"/>
      <c r="AU147" s="151"/>
      <c r="AV147" s="151"/>
      <c r="AW147" s="151"/>
      <c r="AX147" s="151"/>
      <c r="AY147" s="151"/>
      <c r="AZ147" s="151"/>
      <c r="BA147" s="151"/>
      <c r="BB147" s="155"/>
      <c r="BC147" s="221"/>
      <c r="BD147" s="222"/>
      <c r="BE147" s="222"/>
      <c r="BF147" s="222"/>
      <c r="BG147" s="222"/>
      <c r="BH147" s="222"/>
      <c r="BI147" s="222"/>
      <c r="BJ147" s="222"/>
    </row>
    <row r="148" spans="1:63" s="101" customFormat="1" ht="15.75" thickBot="1">
      <c r="A148" s="144"/>
      <c r="B148" s="144"/>
      <c r="C148" s="152"/>
      <c r="D148" s="144"/>
      <c r="E148" s="145"/>
      <c r="F148" s="144"/>
      <c r="G148" s="146"/>
      <c r="H148" s="146"/>
      <c r="I148" s="144"/>
      <c r="J148" s="151"/>
      <c r="K148" s="144"/>
      <c r="L148" s="144"/>
      <c r="M148" s="151"/>
      <c r="N148" s="151"/>
      <c r="O148" s="153"/>
      <c r="P148" s="151"/>
      <c r="Q148" s="145"/>
      <c r="R148" s="145"/>
      <c r="S148" s="154"/>
      <c r="T148" s="154"/>
      <c r="U148" s="154"/>
      <c r="V148" s="154"/>
      <c r="W148" s="154"/>
      <c r="X148" s="154"/>
      <c r="Y148" s="144"/>
      <c r="Z148" s="144"/>
      <c r="AA148" s="144"/>
      <c r="AB148" s="144"/>
      <c r="AC148" s="151"/>
      <c r="AD148" s="151"/>
      <c r="AE148" s="151"/>
      <c r="AF148" s="151"/>
      <c r="AG148" s="151"/>
      <c r="AH148" s="151"/>
      <c r="AI148" s="151"/>
      <c r="AJ148" s="151"/>
      <c r="AK148" s="151"/>
      <c r="AL148" s="151"/>
      <c r="AM148" s="151"/>
      <c r="AN148" s="151"/>
      <c r="AO148" s="151"/>
      <c r="AP148" s="151"/>
      <c r="AQ148" s="151"/>
      <c r="AR148" s="151"/>
      <c r="AS148" s="151"/>
      <c r="AT148" s="151"/>
      <c r="AU148" s="151"/>
      <c r="AV148" s="151"/>
      <c r="AW148" s="151"/>
      <c r="AX148" s="151"/>
      <c r="AY148" s="151"/>
      <c r="AZ148" s="151"/>
      <c r="BA148" s="151"/>
      <c r="BB148" s="155"/>
      <c r="BC148" s="122"/>
    </row>
    <row r="149" spans="1:63" s="101" customFormat="1" ht="15.75" thickBot="1">
      <c r="A149" s="144"/>
      <c r="B149" s="144"/>
      <c r="C149" s="152"/>
      <c r="D149" s="144"/>
      <c r="E149" s="145"/>
      <c r="F149" s="144"/>
      <c r="G149" s="146"/>
      <c r="H149" s="146"/>
      <c r="I149" s="144"/>
      <c r="J149" s="151"/>
      <c r="K149" s="144"/>
      <c r="L149" s="144"/>
      <c r="M149" s="151"/>
      <c r="N149" s="151"/>
      <c r="O149" s="153"/>
      <c r="P149" s="151"/>
      <c r="Q149" s="145"/>
      <c r="R149" s="145"/>
      <c r="S149" s="154"/>
      <c r="T149" s="154"/>
      <c r="U149" s="154"/>
      <c r="V149" s="154"/>
      <c r="W149" s="154"/>
      <c r="X149" s="154"/>
      <c r="Y149" s="144"/>
      <c r="Z149" s="144"/>
      <c r="AA149" s="144"/>
      <c r="AB149" s="144"/>
      <c r="AC149" s="151"/>
      <c r="AD149" s="151"/>
      <c r="AE149" s="151"/>
      <c r="AF149" s="151"/>
      <c r="AG149" s="151"/>
      <c r="AH149" s="151"/>
      <c r="AI149" s="151"/>
      <c r="AJ149" s="151"/>
      <c r="AK149" s="151"/>
      <c r="AL149" s="151"/>
      <c r="AM149" s="151"/>
      <c r="AN149" s="151"/>
      <c r="AO149" s="151"/>
      <c r="AP149" s="151"/>
      <c r="AQ149" s="151"/>
      <c r="AR149" s="151"/>
      <c r="AS149" s="151"/>
      <c r="AT149" s="151"/>
      <c r="AU149" s="151"/>
      <c r="AV149" s="151"/>
      <c r="AW149" s="151"/>
      <c r="AX149" s="151"/>
      <c r="AY149" s="151"/>
      <c r="AZ149" s="151"/>
      <c r="BA149" s="151"/>
      <c r="BB149" s="155"/>
      <c r="BC149" s="122"/>
    </row>
    <row r="150" spans="1:63" s="101" customFormat="1" ht="15.75" thickBot="1">
      <c r="A150" s="144"/>
      <c r="B150" s="144"/>
      <c r="C150" s="152"/>
      <c r="D150" s="144"/>
      <c r="E150" s="145"/>
      <c r="F150" s="144"/>
      <c r="G150" s="146"/>
      <c r="H150" s="146"/>
      <c r="I150" s="144"/>
      <c r="J150" s="151"/>
      <c r="K150" s="144"/>
      <c r="L150" s="144"/>
      <c r="M150" s="151"/>
      <c r="N150" s="151"/>
      <c r="O150" s="153"/>
      <c r="P150" s="151"/>
      <c r="Q150" s="145"/>
      <c r="R150" s="145"/>
      <c r="S150" s="154"/>
      <c r="T150" s="154"/>
      <c r="U150" s="154"/>
      <c r="V150" s="154"/>
      <c r="W150" s="154"/>
      <c r="X150" s="154"/>
      <c r="Y150" s="144"/>
      <c r="Z150" s="144"/>
      <c r="AA150" s="144"/>
      <c r="AB150" s="144"/>
      <c r="AC150" s="151"/>
      <c r="AD150" s="151"/>
      <c r="AE150" s="151"/>
      <c r="AF150" s="151"/>
      <c r="AG150" s="151"/>
      <c r="AH150" s="151"/>
      <c r="AI150" s="151"/>
      <c r="AJ150" s="151"/>
      <c r="AK150" s="151"/>
      <c r="AL150" s="151"/>
      <c r="AM150" s="151"/>
      <c r="AN150" s="151"/>
      <c r="AO150" s="151"/>
      <c r="AP150" s="151"/>
      <c r="AQ150" s="151"/>
      <c r="AR150" s="151"/>
      <c r="AS150" s="151"/>
      <c r="AT150" s="151"/>
      <c r="AU150" s="151"/>
      <c r="AV150" s="151"/>
      <c r="AW150" s="151"/>
      <c r="AX150" s="151"/>
      <c r="AY150" s="151"/>
      <c r="AZ150" s="151"/>
      <c r="BA150" s="151"/>
      <c r="BB150" s="155"/>
      <c r="BC150" s="122"/>
    </row>
    <row r="151" spans="1:63" s="101" customFormat="1" ht="15.75" thickBot="1">
      <c r="A151" s="144"/>
      <c r="B151" s="144"/>
      <c r="C151" s="152"/>
      <c r="D151" s="144"/>
      <c r="E151" s="145"/>
      <c r="F151" s="144"/>
      <c r="G151" s="146"/>
      <c r="H151" s="146"/>
      <c r="I151" s="144"/>
      <c r="J151" s="151"/>
      <c r="K151" s="144"/>
      <c r="L151" s="144"/>
      <c r="M151" s="151"/>
      <c r="N151" s="151"/>
      <c r="O151" s="153"/>
      <c r="P151" s="151"/>
      <c r="Q151" s="145"/>
      <c r="R151" s="145"/>
      <c r="S151" s="154"/>
      <c r="T151" s="154"/>
      <c r="U151" s="154"/>
      <c r="V151" s="154"/>
      <c r="W151" s="154"/>
      <c r="X151" s="154"/>
      <c r="Y151" s="144"/>
      <c r="Z151" s="144"/>
      <c r="AA151" s="144"/>
      <c r="AB151" s="144"/>
      <c r="AC151" s="151"/>
      <c r="AD151" s="151"/>
      <c r="AE151" s="151"/>
      <c r="AF151" s="151"/>
      <c r="AG151" s="151"/>
      <c r="AH151" s="151"/>
      <c r="AI151" s="151"/>
      <c r="AJ151" s="151"/>
      <c r="AK151" s="151"/>
      <c r="AL151" s="151"/>
      <c r="AM151" s="151"/>
      <c r="AN151" s="151"/>
      <c r="AO151" s="151"/>
      <c r="AP151" s="151"/>
      <c r="AQ151" s="151"/>
      <c r="AR151" s="151"/>
      <c r="AS151" s="151"/>
      <c r="AT151" s="151"/>
      <c r="AU151" s="151"/>
      <c r="AV151" s="151"/>
      <c r="AW151" s="151"/>
      <c r="AX151" s="151"/>
      <c r="AY151" s="151"/>
      <c r="AZ151" s="151"/>
      <c r="BA151" s="151"/>
      <c r="BB151" s="155"/>
      <c r="BC151" s="122"/>
    </row>
    <row r="152" spans="1:63" s="101" customFormat="1" ht="15.75" thickBot="1">
      <c r="A152" s="144"/>
      <c r="B152" s="144"/>
      <c r="C152" s="152"/>
      <c r="D152" s="144"/>
      <c r="E152" s="145"/>
      <c r="F152" s="144"/>
      <c r="G152" s="146"/>
      <c r="H152" s="146"/>
      <c r="I152" s="144"/>
      <c r="J152" s="151"/>
      <c r="K152" s="144"/>
      <c r="L152" s="144"/>
      <c r="M152" s="151"/>
      <c r="N152" s="151"/>
      <c r="O152" s="153"/>
      <c r="P152" s="151"/>
      <c r="Q152" s="145"/>
      <c r="R152" s="145"/>
      <c r="S152" s="154"/>
      <c r="T152" s="154"/>
      <c r="U152" s="154"/>
      <c r="V152" s="154"/>
      <c r="W152" s="154"/>
      <c r="X152" s="154"/>
      <c r="Y152" s="144"/>
      <c r="Z152" s="144"/>
      <c r="AA152" s="144"/>
      <c r="AB152" s="144"/>
      <c r="AC152" s="151"/>
      <c r="AD152" s="151"/>
      <c r="AE152" s="151"/>
      <c r="AF152" s="151"/>
      <c r="AG152" s="151"/>
      <c r="AH152" s="151"/>
      <c r="AI152" s="151"/>
      <c r="AJ152" s="151"/>
      <c r="AK152" s="151"/>
      <c r="AL152" s="151"/>
      <c r="AM152" s="151"/>
      <c r="AN152" s="151"/>
      <c r="AO152" s="151"/>
      <c r="AP152" s="151"/>
      <c r="AQ152" s="151"/>
      <c r="AR152" s="151"/>
      <c r="AS152" s="151"/>
      <c r="AT152" s="151"/>
      <c r="AU152" s="151"/>
      <c r="AV152" s="151"/>
      <c r="AW152" s="151"/>
      <c r="AX152" s="151"/>
      <c r="AY152" s="151"/>
      <c r="AZ152" s="151"/>
      <c r="BA152" s="151"/>
      <c r="BB152" s="155"/>
      <c r="BC152" s="122"/>
    </row>
    <row r="153" spans="1:63" s="101" customFormat="1" ht="15.75" thickBot="1">
      <c r="A153" s="144"/>
      <c r="B153" s="144"/>
      <c r="C153" s="152"/>
      <c r="D153" s="144"/>
      <c r="E153" s="145"/>
      <c r="F153" s="144"/>
      <c r="G153" s="146"/>
      <c r="H153" s="146"/>
      <c r="I153" s="144"/>
      <c r="J153" s="151"/>
      <c r="K153" s="144"/>
      <c r="L153" s="144"/>
      <c r="M153" s="151"/>
      <c r="N153" s="151"/>
      <c r="O153" s="153"/>
      <c r="P153" s="151"/>
      <c r="Q153" s="145"/>
      <c r="R153" s="145"/>
      <c r="S153" s="154"/>
      <c r="T153" s="154"/>
      <c r="U153" s="154"/>
      <c r="V153" s="154"/>
      <c r="W153" s="154"/>
      <c r="X153" s="154"/>
      <c r="Y153" s="144"/>
      <c r="Z153" s="144"/>
      <c r="AA153" s="144"/>
      <c r="AB153" s="144"/>
      <c r="AC153" s="151"/>
      <c r="AD153" s="151"/>
      <c r="AE153" s="151"/>
      <c r="AF153" s="151"/>
      <c r="AG153" s="151"/>
      <c r="AH153" s="151"/>
      <c r="AI153" s="151"/>
      <c r="AJ153" s="151"/>
      <c r="AK153" s="151"/>
      <c r="AL153" s="151"/>
      <c r="AM153" s="151"/>
      <c r="AN153" s="151"/>
      <c r="AO153" s="151"/>
      <c r="AP153" s="151"/>
      <c r="AQ153" s="151"/>
      <c r="AR153" s="151"/>
      <c r="AS153" s="151"/>
      <c r="AT153" s="151"/>
      <c r="AU153" s="151"/>
      <c r="AV153" s="151"/>
      <c r="AW153" s="151"/>
      <c r="AX153" s="151"/>
      <c r="AY153" s="151"/>
      <c r="AZ153" s="151"/>
      <c r="BA153" s="151"/>
      <c r="BB153" s="155"/>
      <c r="BC153" s="122"/>
    </row>
    <row r="154" spans="1:63" s="101" customFormat="1" ht="15.75" thickBot="1">
      <c r="A154" s="130"/>
      <c r="B154" s="131"/>
      <c r="C154" s="142"/>
      <c r="D154" s="131"/>
      <c r="E154" s="135"/>
      <c r="F154" s="131"/>
      <c r="G154" s="132"/>
      <c r="H154" s="132"/>
      <c r="I154" s="131"/>
      <c r="J154" s="133"/>
      <c r="K154" s="131"/>
      <c r="L154" s="131"/>
      <c r="M154" s="133"/>
      <c r="N154" s="133"/>
      <c r="O154" s="138"/>
      <c r="P154" s="133"/>
      <c r="Q154" s="135"/>
      <c r="R154" s="135"/>
      <c r="S154" s="140"/>
      <c r="T154" s="140"/>
      <c r="U154" s="140"/>
      <c r="V154" s="140"/>
      <c r="W154" s="140"/>
      <c r="X154" s="140"/>
      <c r="Y154" s="131"/>
      <c r="Z154" s="131"/>
      <c r="AA154" s="131"/>
      <c r="AB154" s="131"/>
      <c r="AC154" s="133"/>
      <c r="AD154" s="133"/>
      <c r="AE154" s="133"/>
      <c r="AF154" s="133"/>
      <c r="AG154" s="133"/>
      <c r="AH154" s="133"/>
      <c r="AI154" s="133"/>
      <c r="AJ154" s="133"/>
      <c r="AK154" s="133"/>
      <c r="AL154" s="133"/>
      <c r="AM154" s="133"/>
      <c r="AN154" s="133"/>
      <c r="AO154" s="133"/>
      <c r="AP154" s="133"/>
      <c r="AQ154" s="133"/>
      <c r="AR154" s="133"/>
      <c r="AS154" s="133"/>
      <c r="AT154" s="133"/>
      <c r="AU154" s="133"/>
      <c r="AV154" s="133"/>
      <c r="AW154" s="284"/>
      <c r="AX154" s="284"/>
      <c r="AY154" s="284"/>
      <c r="AZ154" s="284"/>
      <c r="BA154" s="284"/>
      <c r="BB154" s="143"/>
      <c r="BC154" s="122"/>
    </row>
    <row r="155" spans="1:63" s="101" customFormat="1" ht="15.75" thickBot="1">
      <c r="A155" s="90"/>
      <c r="B155" s="91"/>
      <c r="C155" s="106"/>
      <c r="D155" s="91"/>
      <c r="E155" s="94"/>
      <c r="F155" s="91"/>
      <c r="G155" s="104"/>
      <c r="H155" s="104"/>
      <c r="I155" s="91"/>
      <c r="J155" s="92"/>
      <c r="K155" s="91"/>
      <c r="L155" s="91"/>
      <c r="M155" s="92"/>
      <c r="N155" s="92"/>
      <c r="O155" s="93"/>
      <c r="P155" s="92"/>
      <c r="Q155" s="94"/>
      <c r="R155" s="94"/>
      <c r="S155" s="134"/>
      <c r="T155" s="134"/>
      <c r="U155" s="134"/>
      <c r="V155" s="134"/>
      <c r="W155" s="134"/>
      <c r="X155" s="134"/>
      <c r="Y155" s="91"/>
      <c r="Z155" s="91"/>
      <c r="AA155" s="91"/>
      <c r="AB155" s="91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  <c r="AM155" s="92"/>
      <c r="AN155" s="92"/>
      <c r="AO155" s="92"/>
      <c r="AP155" s="92"/>
      <c r="AQ155" s="92"/>
      <c r="AR155" s="92"/>
      <c r="AS155" s="92"/>
      <c r="AT155" s="92"/>
      <c r="AU155" s="92"/>
      <c r="AV155" s="92"/>
      <c r="AW155" s="282"/>
      <c r="AX155" s="282"/>
      <c r="AY155" s="282"/>
      <c r="AZ155" s="282"/>
      <c r="BA155" s="282"/>
      <c r="BB155" s="136"/>
      <c r="BC155" s="122"/>
    </row>
    <row r="156" spans="1:63" s="101" customFormat="1" ht="15.75" thickBot="1">
      <c r="A156" s="90"/>
      <c r="B156" s="91"/>
      <c r="C156" s="106"/>
      <c r="D156" s="91"/>
      <c r="E156" s="94"/>
      <c r="F156" s="91"/>
      <c r="G156" s="104"/>
      <c r="H156" s="104"/>
      <c r="I156" s="91"/>
      <c r="J156" s="92"/>
      <c r="K156" s="91"/>
      <c r="L156" s="91"/>
      <c r="M156" s="92"/>
      <c r="N156" s="92"/>
      <c r="O156" s="93"/>
      <c r="P156" s="92"/>
      <c r="Q156" s="94"/>
      <c r="R156" s="94"/>
      <c r="S156" s="134"/>
      <c r="T156" s="134"/>
      <c r="U156" s="134"/>
      <c r="V156" s="134"/>
      <c r="W156" s="134"/>
      <c r="X156" s="134"/>
      <c r="Y156" s="91"/>
      <c r="Z156" s="91"/>
      <c r="AA156" s="91"/>
      <c r="AB156" s="91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  <c r="AM156" s="92"/>
      <c r="AN156" s="92"/>
      <c r="AO156" s="92"/>
      <c r="AP156" s="92"/>
      <c r="AQ156" s="92"/>
      <c r="AR156" s="92"/>
      <c r="AS156" s="92"/>
      <c r="AT156" s="92"/>
      <c r="AU156" s="92"/>
      <c r="AV156" s="92"/>
      <c r="AW156" s="282"/>
      <c r="AX156" s="282"/>
      <c r="AY156" s="282"/>
      <c r="AZ156" s="282"/>
      <c r="BA156" s="282"/>
      <c r="BB156" s="136"/>
      <c r="BC156" s="122"/>
    </row>
    <row r="157" spans="1:63" s="101" customFormat="1" ht="15.75" thickBot="1">
      <c r="A157" s="90"/>
      <c r="B157" s="91"/>
      <c r="C157" s="106"/>
      <c r="D157" s="91"/>
      <c r="E157" s="94"/>
      <c r="F157" s="91"/>
      <c r="G157" s="104"/>
      <c r="H157" s="104"/>
      <c r="I157" s="91"/>
      <c r="J157" s="92"/>
      <c r="K157" s="91"/>
      <c r="L157" s="91"/>
      <c r="M157" s="92"/>
      <c r="N157" s="92"/>
      <c r="O157" s="93"/>
      <c r="P157" s="92"/>
      <c r="Q157" s="94"/>
      <c r="R157" s="94"/>
      <c r="S157" s="134"/>
      <c r="T157" s="134"/>
      <c r="U157" s="134"/>
      <c r="V157" s="134"/>
      <c r="W157" s="134"/>
      <c r="X157" s="134"/>
      <c r="Y157" s="91"/>
      <c r="Z157" s="91"/>
      <c r="AA157" s="91"/>
      <c r="AB157" s="91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  <c r="AM157" s="92"/>
      <c r="AN157" s="92"/>
      <c r="AO157" s="92"/>
      <c r="AP157" s="92"/>
      <c r="AQ157" s="92"/>
      <c r="AR157" s="92"/>
      <c r="AS157" s="92"/>
      <c r="AT157" s="92"/>
      <c r="AU157" s="92"/>
      <c r="AV157" s="92"/>
      <c r="AW157" s="282"/>
      <c r="AX157" s="282"/>
      <c r="AY157" s="282"/>
      <c r="AZ157" s="282"/>
      <c r="BA157" s="282"/>
      <c r="BB157" s="136"/>
      <c r="BC157" s="122"/>
    </row>
    <row r="158" spans="1:63" s="101" customFormat="1" ht="15.75" thickBot="1">
      <c r="A158" s="90"/>
      <c r="B158" s="91"/>
      <c r="C158" s="106"/>
      <c r="D158" s="91"/>
      <c r="E158" s="94"/>
      <c r="F158" s="91"/>
      <c r="G158" s="104"/>
      <c r="H158" s="104"/>
      <c r="I158" s="91"/>
      <c r="J158" s="92"/>
      <c r="K158" s="91"/>
      <c r="L158" s="91"/>
      <c r="M158" s="92"/>
      <c r="N158" s="92"/>
      <c r="O158" s="93"/>
      <c r="P158" s="92"/>
      <c r="Q158" s="94"/>
      <c r="R158" s="94"/>
      <c r="S158" s="134"/>
      <c r="T158" s="134"/>
      <c r="U158" s="134"/>
      <c r="V158" s="134"/>
      <c r="W158" s="134"/>
      <c r="X158" s="134"/>
      <c r="Y158" s="91"/>
      <c r="Z158" s="91"/>
      <c r="AA158" s="91"/>
      <c r="AB158" s="91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  <c r="AM158" s="92"/>
      <c r="AN158" s="92"/>
      <c r="AO158" s="92"/>
      <c r="AP158" s="92"/>
      <c r="AQ158" s="92"/>
      <c r="AR158" s="92"/>
      <c r="AS158" s="92"/>
      <c r="AT158" s="92"/>
      <c r="AU158" s="92"/>
      <c r="AV158" s="92"/>
      <c r="AW158" s="282"/>
      <c r="AX158" s="282"/>
      <c r="AY158" s="282"/>
      <c r="AZ158" s="282"/>
      <c r="BA158" s="282"/>
      <c r="BB158" s="136"/>
      <c r="BC158" s="122"/>
    </row>
    <row r="159" spans="1:63" s="101" customFormat="1" ht="15.75" thickBot="1">
      <c r="A159" s="90"/>
      <c r="B159" s="91"/>
      <c r="C159" s="106"/>
      <c r="D159" s="91"/>
      <c r="E159" s="94"/>
      <c r="F159" s="91"/>
      <c r="G159" s="104"/>
      <c r="H159" s="104"/>
      <c r="I159" s="91"/>
      <c r="J159" s="92"/>
      <c r="K159" s="91"/>
      <c r="L159" s="91"/>
      <c r="M159" s="92"/>
      <c r="N159" s="92"/>
      <c r="O159" s="93"/>
      <c r="P159" s="92"/>
      <c r="Q159" s="94"/>
      <c r="R159" s="94"/>
      <c r="S159" s="134"/>
      <c r="T159" s="134"/>
      <c r="U159" s="134"/>
      <c r="V159" s="134"/>
      <c r="W159" s="134"/>
      <c r="X159" s="134"/>
      <c r="Y159" s="91"/>
      <c r="Z159" s="91"/>
      <c r="AA159" s="91"/>
      <c r="AB159" s="91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  <c r="AM159" s="92"/>
      <c r="AN159" s="92"/>
      <c r="AO159" s="92"/>
      <c r="AP159" s="92"/>
      <c r="AQ159" s="92"/>
      <c r="AR159" s="92"/>
      <c r="AS159" s="92"/>
      <c r="AT159" s="92"/>
      <c r="AU159" s="92"/>
      <c r="AV159" s="92"/>
      <c r="AW159" s="282"/>
      <c r="AX159" s="282"/>
      <c r="AY159" s="282"/>
      <c r="AZ159" s="282"/>
      <c r="BA159" s="282"/>
      <c r="BB159" s="136"/>
      <c r="BC159" s="122"/>
    </row>
    <row r="160" spans="1:63" s="111" customFormat="1">
      <c r="A160" s="90"/>
      <c r="B160" s="91"/>
      <c r="C160" s="106"/>
      <c r="D160" s="91"/>
      <c r="E160" s="94"/>
      <c r="F160" s="91"/>
      <c r="G160" s="104"/>
      <c r="H160" s="104"/>
      <c r="I160" s="91"/>
      <c r="J160" s="92"/>
      <c r="K160" s="91"/>
      <c r="L160" s="91"/>
      <c r="M160" s="92"/>
      <c r="N160" s="92"/>
      <c r="O160" s="93"/>
      <c r="P160" s="92"/>
      <c r="Q160" s="94"/>
      <c r="R160" s="94"/>
      <c r="S160" s="134"/>
      <c r="T160" s="134"/>
      <c r="U160" s="134"/>
      <c r="V160" s="134"/>
      <c r="W160" s="134"/>
      <c r="X160" s="134"/>
      <c r="Y160" s="91"/>
      <c r="Z160" s="91"/>
      <c r="AA160" s="91"/>
      <c r="AB160" s="91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  <c r="AM160" s="92"/>
      <c r="AN160" s="92"/>
      <c r="AO160" s="92"/>
      <c r="AP160" s="92"/>
      <c r="AQ160" s="92"/>
      <c r="AR160" s="92"/>
      <c r="AS160" s="92"/>
      <c r="AT160" s="92"/>
      <c r="AU160" s="92"/>
      <c r="AV160" s="92"/>
      <c r="AW160" s="282"/>
      <c r="AX160" s="282"/>
      <c r="AY160" s="282"/>
      <c r="AZ160" s="282"/>
      <c r="BA160" s="282"/>
      <c r="BB160" s="136"/>
      <c r="BC160" s="123"/>
    </row>
    <row r="161" spans="1:55" s="95" customFormat="1" ht="15.75" thickBot="1">
      <c r="A161" s="125"/>
      <c r="B161" s="100"/>
      <c r="C161" s="100"/>
      <c r="D161" s="100"/>
      <c r="E161" s="100"/>
      <c r="F161" s="100"/>
      <c r="G161" s="100"/>
      <c r="H161" s="100"/>
      <c r="I161" s="100"/>
      <c r="J161" s="126"/>
      <c r="K161" s="127"/>
      <c r="L161" s="127"/>
      <c r="M161" s="118"/>
      <c r="N161" s="126"/>
      <c r="O161" s="126"/>
      <c r="P161" s="118"/>
      <c r="Q161" s="128"/>
      <c r="R161" s="121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  <c r="AM161" s="100"/>
      <c r="AN161" s="100"/>
      <c r="AO161" s="100"/>
      <c r="AP161" s="100"/>
      <c r="AQ161" s="100"/>
      <c r="AR161" s="100"/>
      <c r="AS161" s="100"/>
      <c r="AT161" s="100"/>
      <c r="AU161" s="100"/>
      <c r="AV161" s="100"/>
      <c r="AW161" s="289"/>
      <c r="AX161" s="289"/>
      <c r="AY161" s="289"/>
      <c r="AZ161" s="289"/>
      <c r="BA161" s="289"/>
      <c r="BB161" s="129"/>
      <c r="BC161" s="115"/>
    </row>
  </sheetData>
  <mergeCells count="322">
    <mergeCell ref="BJ116:BJ131"/>
    <mergeCell ref="BJ134:BJ135"/>
    <mergeCell ref="BJ74:BJ81"/>
    <mergeCell ref="BJ84:BJ88"/>
    <mergeCell ref="BJ91:BJ98"/>
    <mergeCell ref="BJ101:BJ107"/>
    <mergeCell ref="BJ110:BJ113"/>
    <mergeCell ref="BJ47:BJ50"/>
    <mergeCell ref="BJ53:BJ54"/>
    <mergeCell ref="BJ58:BJ61"/>
    <mergeCell ref="BJ66:BJ67"/>
    <mergeCell ref="BJ70:BJ71"/>
    <mergeCell ref="BJ14:BJ15"/>
    <mergeCell ref="BJ18:BJ25"/>
    <mergeCell ref="BJ28:BJ33"/>
    <mergeCell ref="BJ36:BJ38"/>
    <mergeCell ref="BJ41:BJ44"/>
    <mergeCell ref="Z139:Z140"/>
    <mergeCell ref="AA139:AA140"/>
    <mergeCell ref="AB139:AB140"/>
    <mergeCell ref="BB139:BE139"/>
    <mergeCell ref="BF139:BI139"/>
    <mergeCell ref="BH134:BH135"/>
    <mergeCell ref="BI134:BI135"/>
    <mergeCell ref="BG134:BG135"/>
    <mergeCell ref="BH110:BH113"/>
    <mergeCell ref="BI110:BI113"/>
    <mergeCell ref="BC116:BC131"/>
    <mergeCell ref="BD116:BD131"/>
    <mergeCell ref="BE116:BE131"/>
    <mergeCell ref="BF116:BF131"/>
    <mergeCell ref="BG116:BG131"/>
    <mergeCell ref="BH116:BH131"/>
    <mergeCell ref="BI116:BI131"/>
    <mergeCell ref="BC110:BC113"/>
    <mergeCell ref="BD110:BD113"/>
    <mergeCell ref="A139:A140"/>
    <mergeCell ref="B139:B140"/>
    <mergeCell ref="C139:C140"/>
    <mergeCell ref="D139:D140"/>
    <mergeCell ref="E139:E140"/>
    <mergeCell ref="F139:F140"/>
    <mergeCell ref="G139:G140"/>
    <mergeCell ref="H139:H140"/>
    <mergeCell ref="I139:I140"/>
    <mergeCell ref="J139:J140"/>
    <mergeCell ref="K139:K140"/>
    <mergeCell ref="L139:L140"/>
    <mergeCell ref="M139:M140"/>
    <mergeCell ref="N139:N140"/>
    <mergeCell ref="BC134:BC135"/>
    <mergeCell ref="BD134:BD135"/>
    <mergeCell ref="BE134:BE135"/>
    <mergeCell ref="BF134:BF135"/>
    <mergeCell ref="U139:U140"/>
    <mergeCell ref="V139:V140"/>
    <mergeCell ref="W139:W140"/>
    <mergeCell ref="X139:X140"/>
    <mergeCell ref="Y139:Y140"/>
    <mergeCell ref="O139:O140"/>
    <mergeCell ref="P139:P140"/>
    <mergeCell ref="Q139:Q140"/>
    <mergeCell ref="R139:R140"/>
    <mergeCell ref="T139:T140"/>
    <mergeCell ref="BE110:BE113"/>
    <mergeCell ref="BF110:BF113"/>
    <mergeCell ref="BG110:BG113"/>
    <mergeCell ref="BH91:BH98"/>
    <mergeCell ref="BI91:BI98"/>
    <mergeCell ref="BC101:BC107"/>
    <mergeCell ref="BD101:BD107"/>
    <mergeCell ref="BE101:BE107"/>
    <mergeCell ref="BF101:BF107"/>
    <mergeCell ref="BG101:BG107"/>
    <mergeCell ref="BH101:BH107"/>
    <mergeCell ref="BI101:BI107"/>
    <mergeCell ref="BC91:BC98"/>
    <mergeCell ref="BD91:BD98"/>
    <mergeCell ref="BE91:BE98"/>
    <mergeCell ref="BF91:BF98"/>
    <mergeCell ref="BG91:BG98"/>
    <mergeCell ref="BH74:BH81"/>
    <mergeCell ref="BI74:BI81"/>
    <mergeCell ref="BC84:BC88"/>
    <mergeCell ref="BD84:BD88"/>
    <mergeCell ref="BE84:BE88"/>
    <mergeCell ref="BF84:BF88"/>
    <mergeCell ref="BG84:BG88"/>
    <mergeCell ref="BH84:BH88"/>
    <mergeCell ref="BI84:BI88"/>
    <mergeCell ref="BC74:BC81"/>
    <mergeCell ref="BD74:BD81"/>
    <mergeCell ref="BE74:BE81"/>
    <mergeCell ref="BF74:BF81"/>
    <mergeCell ref="BG74:BG81"/>
    <mergeCell ref="BH66:BH67"/>
    <mergeCell ref="BI66:BI67"/>
    <mergeCell ref="BD70:BD71"/>
    <mergeCell ref="BH70:BH71"/>
    <mergeCell ref="BC66:BC67"/>
    <mergeCell ref="BD66:BD67"/>
    <mergeCell ref="BE66:BE67"/>
    <mergeCell ref="BF66:BF67"/>
    <mergeCell ref="BG66:BG67"/>
    <mergeCell ref="BC70:BC71"/>
    <mergeCell ref="BE70:BE71"/>
    <mergeCell ref="BF70:BF71"/>
    <mergeCell ref="BG70:BG71"/>
    <mergeCell ref="BI70:BI71"/>
    <mergeCell ref="BH53:BH54"/>
    <mergeCell ref="BI53:BI54"/>
    <mergeCell ref="BC58:BC61"/>
    <mergeCell ref="BD58:BD61"/>
    <mergeCell ref="BE58:BE61"/>
    <mergeCell ref="BF58:BF61"/>
    <mergeCell ref="BG58:BG61"/>
    <mergeCell ref="BH58:BH61"/>
    <mergeCell ref="BI58:BI61"/>
    <mergeCell ref="BC53:BC54"/>
    <mergeCell ref="BD53:BD54"/>
    <mergeCell ref="BE53:BE54"/>
    <mergeCell ref="BF53:BF54"/>
    <mergeCell ref="BG53:BG54"/>
    <mergeCell ref="BH41:BH44"/>
    <mergeCell ref="BI41:BI44"/>
    <mergeCell ref="BC47:BC50"/>
    <mergeCell ref="BD47:BD50"/>
    <mergeCell ref="BE47:BE50"/>
    <mergeCell ref="BF47:BF50"/>
    <mergeCell ref="BG47:BG50"/>
    <mergeCell ref="BH47:BH50"/>
    <mergeCell ref="BI47:BI50"/>
    <mergeCell ref="BC41:BC44"/>
    <mergeCell ref="BD41:BD44"/>
    <mergeCell ref="BE41:BE44"/>
    <mergeCell ref="BF41:BF44"/>
    <mergeCell ref="BG41:BG44"/>
    <mergeCell ref="BG28:BG33"/>
    <mergeCell ref="BH28:BH33"/>
    <mergeCell ref="BI28:BI33"/>
    <mergeCell ref="BC36:BC38"/>
    <mergeCell ref="BD36:BD38"/>
    <mergeCell ref="BE36:BE38"/>
    <mergeCell ref="BF36:BF38"/>
    <mergeCell ref="BG36:BG38"/>
    <mergeCell ref="BH36:BH38"/>
    <mergeCell ref="BI36:BI38"/>
    <mergeCell ref="BC28:BC33"/>
    <mergeCell ref="BD28:BD33"/>
    <mergeCell ref="BE28:BE33"/>
    <mergeCell ref="BF28:BF33"/>
    <mergeCell ref="A14:A15"/>
    <mergeCell ref="B14:B15"/>
    <mergeCell ref="C14:C15"/>
    <mergeCell ref="D14:D15"/>
    <mergeCell ref="E14:E15"/>
    <mergeCell ref="V14:V15"/>
    <mergeCell ref="W14:W15"/>
    <mergeCell ref="X14:X15"/>
    <mergeCell ref="Y14:Y15"/>
    <mergeCell ref="Q14:Q15"/>
    <mergeCell ref="R14:R15"/>
    <mergeCell ref="S14:S15"/>
    <mergeCell ref="T14:T15"/>
    <mergeCell ref="U14:U15"/>
    <mergeCell ref="BF14:BI14"/>
    <mergeCell ref="BC18:BC25"/>
    <mergeCell ref="BD18:BD25"/>
    <mergeCell ref="AA14:AA15"/>
    <mergeCell ref="AB14:AB15"/>
    <mergeCell ref="BE18:BE25"/>
    <mergeCell ref="BF18:BF25"/>
    <mergeCell ref="BG18:BG25"/>
    <mergeCell ref="BH18:BH25"/>
    <mergeCell ref="BI18:BI25"/>
    <mergeCell ref="W91:W98"/>
    <mergeCell ref="X84:X88"/>
    <mergeCell ref="L14:L15"/>
    <mergeCell ref="M14:M15"/>
    <mergeCell ref="N14:N15"/>
    <mergeCell ref="O14:O15"/>
    <mergeCell ref="P14:P15"/>
    <mergeCell ref="Z14:Z15"/>
    <mergeCell ref="BB14:BE14"/>
    <mergeCell ref="T58:T61"/>
    <mergeCell ref="U58:U61"/>
    <mergeCell ref="V58:V61"/>
    <mergeCell ref="W58:W61"/>
    <mergeCell ref="X58:X61"/>
    <mergeCell ref="T53:T55"/>
    <mergeCell ref="U53:U55"/>
    <mergeCell ref="V53:V55"/>
    <mergeCell ref="W53:W55"/>
    <mergeCell ref="X53:X55"/>
    <mergeCell ref="T47:T50"/>
    <mergeCell ref="U47:U50"/>
    <mergeCell ref="V47:V50"/>
    <mergeCell ref="W47:W50"/>
    <mergeCell ref="X47:X50"/>
    <mergeCell ref="U41:U44"/>
    <mergeCell ref="V41:V44"/>
    <mergeCell ref="W41:W44"/>
    <mergeCell ref="X41:X44"/>
    <mergeCell ref="BB18:BB25"/>
    <mergeCell ref="T36:T38"/>
    <mergeCell ref="U36:U38"/>
    <mergeCell ref="V36:V38"/>
    <mergeCell ref="W36:W38"/>
    <mergeCell ref="X36:X38"/>
    <mergeCell ref="T28:T33"/>
    <mergeCell ref="U28:U33"/>
    <mergeCell ref="V28:V33"/>
    <mergeCell ref="W28:W33"/>
    <mergeCell ref="X28:X33"/>
    <mergeCell ref="BB58:BB61"/>
    <mergeCell ref="BB28:BB33"/>
    <mergeCell ref="BB36:BB38"/>
    <mergeCell ref="BB41:BB44"/>
    <mergeCell ref="BB47:BB50"/>
    <mergeCell ref="BB53:BB54"/>
    <mergeCell ref="B18:B25"/>
    <mergeCell ref="C11:P11"/>
    <mergeCell ref="C12:P12"/>
    <mergeCell ref="C13:P13"/>
    <mergeCell ref="Q11:BB11"/>
    <mergeCell ref="X18:X25"/>
    <mergeCell ref="T18:T25"/>
    <mergeCell ref="U18:U25"/>
    <mergeCell ref="V18:V25"/>
    <mergeCell ref="W18:W25"/>
    <mergeCell ref="F14:F15"/>
    <mergeCell ref="G14:G15"/>
    <mergeCell ref="H14:H15"/>
    <mergeCell ref="I14:I15"/>
    <mergeCell ref="J14:J15"/>
    <mergeCell ref="K14:K15"/>
    <mergeCell ref="S18:S25"/>
    <mergeCell ref="T41:T44"/>
    <mergeCell ref="B28:B33"/>
    <mergeCell ref="B36:B38"/>
    <mergeCell ref="B41:B44"/>
    <mergeCell ref="B47:B50"/>
    <mergeCell ref="B53:B55"/>
    <mergeCell ref="B58:B61"/>
    <mergeCell ref="S58:S61"/>
    <mergeCell ref="F63:G63"/>
    <mergeCell ref="H63:I63"/>
    <mergeCell ref="S28:S33"/>
    <mergeCell ref="S36:S38"/>
    <mergeCell ref="S41:S44"/>
    <mergeCell ref="S47:S50"/>
    <mergeCell ref="S53:S55"/>
    <mergeCell ref="B66:B67"/>
    <mergeCell ref="B84:B88"/>
    <mergeCell ref="B91:B98"/>
    <mergeCell ref="B74:B81"/>
    <mergeCell ref="BB74:BB81"/>
    <mergeCell ref="BB84:BB88"/>
    <mergeCell ref="BB91:BB98"/>
    <mergeCell ref="B70:B71"/>
    <mergeCell ref="S74:S81"/>
    <mergeCell ref="S84:S88"/>
    <mergeCell ref="S91:S98"/>
    <mergeCell ref="T74:T81"/>
    <mergeCell ref="U74:U81"/>
    <mergeCell ref="V74:V81"/>
    <mergeCell ref="W74:W81"/>
    <mergeCell ref="X74:X81"/>
    <mergeCell ref="X91:X98"/>
    <mergeCell ref="T84:T88"/>
    <mergeCell ref="U84:U88"/>
    <mergeCell ref="V84:V88"/>
    <mergeCell ref="W84:W88"/>
    <mergeCell ref="T91:T98"/>
    <mergeCell ref="U91:U98"/>
    <mergeCell ref="V91:V98"/>
    <mergeCell ref="B101:B107"/>
    <mergeCell ref="S101:S107"/>
    <mergeCell ref="BB101:BB107"/>
    <mergeCell ref="B110:B113"/>
    <mergeCell ref="S110:S113"/>
    <mergeCell ref="BB110:BB113"/>
    <mergeCell ref="T110:T113"/>
    <mergeCell ref="U110:U113"/>
    <mergeCell ref="V110:V113"/>
    <mergeCell ref="W110:W113"/>
    <mergeCell ref="X110:X113"/>
    <mergeCell ref="T101:T107"/>
    <mergeCell ref="U101:U107"/>
    <mergeCell ref="V101:V107"/>
    <mergeCell ref="W101:W107"/>
    <mergeCell ref="X101:X107"/>
    <mergeCell ref="B116:B131"/>
    <mergeCell ref="S116:S131"/>
    <mergeCell ref="BB116:BB131"/>
    <mergeCell ref="B134:B135"/>
    <mergeCell ref="S134:S135"/>
    <mergeCell ref="BB134:BB135"/>
    <mergeCell ref="T116:T131"/>
    <mergeCell ref="U116:U131"/>
    <mergeCell ref="V116:V131"/>
    <mergeCell ref="W116:W131"/>
    <mergeCell ref="X116:X131"/>
    <mergeCell ref="T134:T135"/>
    <mergeCell ref="U134:U135"/>
    <mergeCell ref="V134:V135"/>
    <mergeCell ref="W134:W135"/>
    <mergeCell ref="X134:X135"/>
    <mergeCell ref="BB66:BB67"/>
    <mergeCell ref="S66:S67"/>
    <mergeCell ref="T66:T67"/>
    <mergeCell ref="U66:U67"/>
    <mergeCell ref="V66:V67"/>
    <mergeCell ref="W66:W67"/>
    <mergeCell ref="X66:X67"/>
    <mergeCell ref="S70:S71"/>
    <mergeCell ref="T70:T71"/>
    <mergeCell ref="U70:U71"/>
    <mergeCell ref="V70:V71"/>
    <mergeCell ref="W70:W71"/>
    <mergeCell ref="X70:X71"/>
    <mergeCell ref="BB70:BB71"/>
  </mergeCells>
  <conditionalFormatting sqref="P18:P20">
    <cfRule type="iconSet" priority="1">
      <iconSet iconSet="3Arrows">
        <cfvo type="percent" val="0"/>
        <cfvo type="percent" val="33"/>
        <cfvo type="percent" val="67"/>
      </iconSet>
    </cfRule>
  </conditionalFormatting>
  <printOptions horizontalCentered="1"/>
  <pageMargins left="0.23622047244094491" right="0.23622047244094491" top="0.15748031496062992" bottom="0.15748031496062992" header="0.31496062992125984" footer="0.31496062992125984"/>
  <pageSetup paperSize="9" scale="64" orientation="landscape" r:id="rId1"/>
  <rowBreaks count="2" manualBreakCount="2">
    <brk id="56" max="56" man="1"/>
    <brk id="108" max="5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"/>
  <sheetViews>
    <sheetView topLeftCell="A13" workbookViewId="0">
      <selection activeCell="N31" sqref="N31"/>
    </sheetView>
  </sheetViews>
  <sheetFormatPr defaultRowHeight="15"/>
  <sheetData>
    <row r="1" spans="1:17" ht="24" thickBot="1">
      <c r="A1" s="341" t="s">
        <v>174</v>
      </c>
      <c r="B1" s="342"/>
      <c r="C1" s="342"/>
      <c r="D1" s="342"/>
      <c r="E1" s="342"/>
      <c r="F1" s="342"/>
      <c r="G1" s="342"/>
      <c r="H1" s="343"/>
      <c r="I1" s="1"/>
      <c r="J1" s="344" t="s">
        <v>175</v>
      </c>
      <c r="K1" s="344"/>
      <c r="L1" s="344"/>
      <c r="M1" s="344"/>
      <c r="N1" s="344"/>
      <c r="O1" s="344"/>
      <c r="P1" s="344"/>
      <c r="Q1" s="345"/>
    </row>
    <row r="2" spans="1:17" ht="30.75" thickBot="1">
      <c r="A2" s="2" t="s">
        <v>176</v>
      </c>
      <c r="B2" s="2" t="s">
        <v>177</v>
      </c>
      <c r="C2" s="3" t="s">
        <v>178</v>
      </c>
      <c r="D2" s="3" t="s">
        <v>179</v>
      </c>
      <c r="E2" s="3" t="s">
        <v>180</v>
      </c>
      <c r="F2" s="3" t="s">
        <v>181</v>
      </c>
      <c r="G2" s="3" t="s">
        <v>182</v>
      </c>
      <c r="H2" s="3" t="s">
        <v>183</v>
      </c>
      <c r="I2" s="3" t="s">
        <v>176</v>
      </c>
      <c r="J2" s="3" t="s">
        <v>183</v>
      </c>
      <c r="K2" s="3" t="s">
        <v>181</v>
      </c>
      <c r="L2" s="3" t="s">
        <v>182</v>
      </c>
      <c r="M2" s="3" t="s">
        <v>184</v>
      </c>
      <c r="N2" s="3" t="s">
        <v>185</v>
      </c>
      <c r="O2" s="3" t="s">
        <v>186</v>
      </c>
      <c r="P2" s="3" t="s">
        <v>177</v>
      </c>
      <c r="Q2" s="4" t="s">
        <v>176</v>
      </c>
    </row>
    <row r="3" spans="1:17">
      <c r="A3" s="5">
        <v>0.5</v>
      </c>
      <c r="B3" s="6">
        <f t="shared" ref="B3:B17" si="0">CEILING(C3+D3,50)</f>
        <v>8550</v>
      </c>
      <c r="C3" s="7">
        <f t="shared" ref="C3:C17" si="1">D3*0.5</f>
        <v>2841.3</v>
      </c>
      <c r="D3" s="7">
        <f t="shared" ref="D3:D17" si="2">E3+G3+F3</f>
        <v>5682.6</v>
      </c>
      <c r="E3" s="7">
        <f t="shared" ref="E3:E17" si="3">(F3+G3)*0.05</f>
        <v>270.60000000000002</v>
      </c>
      <c r="F3" s="7">
        <f t="shared" ref="F3:F17" si="4">H3*0.55</f>
        <v>4983</v>
      </c>
      <c r="G3" s="8">
        <v>429</v>
      </c>
      <c r="H3" s="9">
        <v>9060</v>
      </c>
      <c r="I3" s="10">
        <v>0.5</v>
      </c>
      <c r="J3" s="8">
        <v>9060</v>
      </c>
      <c r="K3" s="7">
        <f t="shared" ref="K3:K17" si="5">J3*0.55</f>
        <v>4983</v>
      </c>
      <c r="L3" s="7">
        <v>429</v>
      </c>
      <c r="M3" s="7">
        <f t="shared" ref="M3:M17" si="6">(K3+L3)*0.05</f>
        <v>270.60000000000002</v>
      </c>
      <c r="N3" s="7">
        <f t="shared" ref="N3:N17" si="7">(K3+L3+M3)*1.15</f>
        <v>6534.99</v>
      </c>
      <c r="O3" s="7">
        <f t="shared" ref="O3:O17" si="8">N3*0.5</f>
        <v>3267.4949999999999</v>
      </c>
      <c r="P3" s="11">
        <f t="shared" ref="P3:P17" si="9">CEILING(N3+O3,50)</f>
        <v>9850</v>
      </c>
      <c r="Q3" s="12">
        <v>0.5</v>
      </c>
    </row>
    <row r="4" spans="1:17">
      <c r="A4" s="5">
        <v>1</v>
      </c>
      <c r="B4" s="6">
        <f t="shared" si="0"/>
        <v>9600</v>
      </c>
      <c r="C4" s="7">
        <f t="shared" si="1"/>
        <v>3189.6374999999998</v>
      </c>
      <c r="D4" s="7">
        <f t="shared" si="2"/>
        <v>6379.2749999999996</v>
      </c>
      <c r="E4" s="7">
        <f t="shared" si="3"/>
        <v>303.77500000000003</v>
      </c>
      <c r="F4" s="7">
        <f t="shared" si="4"/>
        <v>5593.5</v>
      </c>
      <c r="G4" s="8">
        <v>482</v>
      </c>
      <c r="H4" s="9">
        <v>10170</v>
      </c>
      <c r="I4" s="10">
        <v>1</v>
      </c>
      <c r="J4" s="8">
        <v>10170</v>
      </c>
      <c r="K4" s="7">
        <f t="shared" si="5"/>
        <v>5593.5</v>
      </c>
      <c r="L4" s="7">
        <v>482</v>
      </c>
      <c r="M4" s="7">
        <f t="shared" si="6"/>
        <v>303.77500000000003</v>
      </c>
      <c r="N4" s="7">
        <f t="shared" si="7"/>
        <v>7336.1662499999993</v>
      </c>
      <c r="O4" s="7">
        <f t="shared" si="8"/>
        <v>3668.0831249999997</v>
      </c>
      <c r="P4" s="11">
        <f t="shared" si="9"/>
        <v>11050</v>
      </c>
      <c r="Q4" s="12">
        <v>1</v>
      </c>
    </row>
    <row r="5" spans="1:17">
      <c r="A5" s="5">
        <v>1.5</v>
      </c>
      <c r="B5" s="6">
        <f t="shared" si="0"/>
        <v>10900</v>
      </c>
      <c r="C5" s="7">
        <f t="shared" si="1"/>
        <v>3631.9500000000007</v>
      </c>
      <c r="D5" s="7">
        <f t="shared" si="2"/>
        <v>7263.9000000000015</v>
      </c>
      <c r="E5" s="7">
        <f t="shared" si="3"/>
        <v>345.90000000000009</v>
      </c>
      <c r="F5" s="7">
        <f t="shared" si="4"/>
        <v>6369.0000000000009</v>
      </c>
      <c r="G5" s="8">
        <v>549</v>
      </c>
      <c r="H5" s="9">
        <v>11580</v>
      </c>
      <c r="I5" s="10">
        <v>1.5</v>
      </c>
      <c r="J5" s="8">
        <v>11580</v>
      </c>
      <c r="K5" s="7">
        <f t="shared" si="5"/>
        <v>6369.0000000000009</v>
      </c>
      <c r="L5" s="7">
        <v>549</v>
      </c>
      <c r="M5" s="7">
        <f t="shared" si="6"/>
        <v>345.90000000000009</v>
      </c>
      <c r="N5" s="7">
        <f t="shared" si="7"/>
        <v>8353.4850000000006</v>
      </c>
      <c r="O5" s="7">
        <f t="shared" si="8"/>
        <v>4176.7425000000003</v>
      </c>
      <c r="P5" s="11">
        <f t="shared" si="9"/>
        <v>12550</v>
      </c>
      <c r="Q5" s="12">
        <v>1.5</v>
      </c>
    </row>
    <row r="6" spans="1:17">
      <c r="A6" s="5">
        <v>2</v>
      </c>
      <c r="B6" s="6">
        <f t="shared" si="0"/>
        <v>11900</v>
      </c>
      <c r="C6" s="7">
        <f t="shared" si="1"/>
        <v>3954.5625000000005</v>
      </c>
      <c r="D6" s="7">
        <f t="shared" si="2"/>
        <v>7909.1250000000009</v>
      </c>
      <c r="E6" s="7">
        <f t="shared" si="3"/>
        <v>376.62500000000006</v>
      </c>
      <c r="F6" s="7">
        <f t="shared" si="4"/>
        <v>6935.5000000000009</v>
      </c>
      <c r="G6" s="8">
        <v>597</v>
      </c>
      <c r="H6" s="9">
        <v>12610</v>
      </c>
      <c r="I6" s="10">
        <v>2</v>
      </c>
      <c r="J6" s="8">
        <v>12610</v>
      </c>
      <c r="K6" s="7">
        <f t="shared" si="5"/>
        <v>6935.5000000000009</v>
      </c>
      <c r="L6" s="7">
        <v>597</v>
      </c>
      <c r="M6" s="7">
        <f t="shared" si="6"/>
        <v>376.62500000000006</v>
      </c>
      <c r="N6" s="7">
        <f t="shared" si="7"/>
        <v>9095.4937499999996</v>
      </c>
      <c r="O6" s="7">
        <f t="shared" si="8"/>
        <v>4547.7468749999998</v>
      </c>
      <c r="P6" s="11">
        <f t="shared" si="9"/>
        <v>13650</v>
      </c>
      <c r="Q6" s="12">
        <v>2</v>
      </c>
    </row>
    <row r="7" spans="1:17">
      <c r="A7" s="5">
        <v>3</v>
      </c>
      <c r="B7" s="6">
        <f t="shared" si="0"/>
        <v>15750</v>
      </c>
      <c r="C7" s="7">
        <f t="shared" si="1"/>
        <v>5247.1125000000002</v>
      </c>
      <c r="D7" s="7">
        <f t="shared" si="2"/>
        <v>10494.225</v>
      </c>
      <c r="E7" s="7">
        <f t="shared" si="3"/>
        <v>499.72500000000002</v>
      </c>
      <c r="F7" s="7">
        <f t="shared" si="4"/>
        <v>9201.5</v>
      </c>
      <c r="G7" s="8">
        <v>793</v>
      </c>
      <c r="H7" s="9">
        <v>16730</v>
      </c>
      <c r="I7" s="10">
        <v>3</v>
      </c>
      <c r="J7" s="8">
        <v>16730</v>
      </c>
      <c r="K7" s="7">
        <f t="shared" si="5"/>
        <v>9201.5</v>
      </c>
      <c r="L7" s="7">
        <v>793</v>
      </c>
      <c r="M7" s="7">
        <f t="shared" si="6"/>
        <v>499.72500000000002</v>
      </c>
      <c r="N7" s="7">
        <f t="shared" si="7"/>
        <v>12068.358749999999</v>
      </c>
      <c r="O7" s="7">
        <f t="shared" si="8"/>
        <v>6034.1793749999997</v>
      </c>
      <c r="P7" s="11">
        <f t="shared" si="9"/>
        <v>18150</v>
      </c>
      <c r="Q7" s="12">
        <v>3</v>
      </c>
    </row>
    <row r="8" spans="1:17">
      <c r="A8" s="5">
        <v>5</v>
      </c>
      <c r="B8" s="6">
        <f t="shared" si="0"/>
        <v>20200</v>
      </c>
      <c r="C8" s="7">
        <f t="shared" si="1"/>
        <v>6727.0875000000015</v>
      </c>
      <c r="D8" s="7">
        <f t="shared" si="2"/>
        <v>13454.175000000003</v>
      </c>
      <c r="E8" s="7">
        <f t="shared" si="3"/>
        <v>640.67500000000018</v>
      </c>
      <c r="F8" s="7">
        <f t="shared" si="4"/>
        <v>11797.500000000002</v>
      </c>
      <c r="G8" s="8">
        <v>1016</v>
      </c>
      <c r="H8" s="9">
        <v>21450</v>
      </c>
      <c r="I8" s="10">
        <v>5</v>
      </c>
      <c r="J8" s="8">
        <v>21450</v>
      </c>
      <c r="K8" s="7">
        <f t="shared" si="5"/>
        <v>11797.500000000002</v>
      </c>
      <c r="L8" s="7">
        <v>1016</v>
      </c>
      <c r="M8" s="7">
        <f t="shared" si="6"/>
        <v>640.67500000000018</v>
      </c>
      <c r="N8" s="7">
        <f t="shared" si="7"/>
        <v>15472.301250000002</v>
      </c>
      <c r="O8" s="7">
        <f t="shared" si="8"/>
        <v>7736.1506250000011</v>
      </c>
      <c r="P8" s="11">
        <f t="shared" si="9"/>
        <v>23250</v>
      </c>
      <c r="Q8" s="12">
        <v>5</v>
      </c>
    </row>
    <row r="9" spans="1:17">
      <c r="A9" s="5">
        <v>7.5</v>
      </c>
      <c r="B9" s="6">
        <f t="shared" si="0"/>
        <v>27850</v>
      </c>
      <c r="C9" s="7">
        <f t="shared" si="1"/>
        <v>9270.9750000000004</v>
      </c>
      <c r="D9" s="7">
        <f t="shared" si="2"/>
        <v>18541.95</v>
      </c>
      <c r="E9" s="7">
        <f t="shared" si="3"/>
        <v>882.95</v>
      </c>
      <c r="F9" s="7">
        <f t="shared" si="4"/>
        <v>16258.000000000002</v>
      </c>
      <c r="G9" s="8">
        <v>1401</v>
      </c>
      <c r="H9" s="9">
        <v>29560</v>
      </c>
      <c r="I9" s="10">
        <v>7.5</v>
      </c>
      <c r="J9" s="8">
        <v>29560</v>
      </c>
      <c r="K9" s="7">
        <f t="shared" si="5"/>
        <v>16258.000000000002</v>
      </c>
      <c r="L9" s="7">
        <v>1401</v>
      </c>
      <c r="M9" s="7">
        <f t="shared" si="6"/>
        <v>882.95</v>
      </c>
      <c r="N9" s="7">
        <f t="shared" si="7"/>
        <v>21323.2425</v>
      </c>
      <c r="O9" s="7">
        <f t="shared" si="8"/>
        <v>10661.62125</v>
      </c>
      <c r="P9" s="11">
        <f t="shared" si="9"/>
        <v>32000</v>
      </c>
      <c r="Q9" s="12">
        <v>7.5</v>
      </c>
    </row>
    <row r="10" spans="1:17">
      <c r="A10" s="5">
        <v>10</v>
      </c>
      <c r="B10" s="6">
        <f t="shared" si="0"/>
        <v>32450</v>
      </c>
      <c r="C10" s="7">
        <f t="shared" si="1"/>
        <v>10801.35</v>
      </c>
      <c r="D10" s="7">
        <f t="shared" si="2"/>
        <v>21602.7</v>
      </c>
      <c r="E10" s="7">
        <f t="shared" si="3"/>
        <v>1028.7</v>
      </c>
      <c r="F10" s="7">
        <f t="shared" si="4"/>
        <v>18942</v>
      </c>
      <c r="G10" s="8">
        <v>1632</v>
      </c>
      <c r="H10" s="9">
        <v>34440</v>
      </c>
      <c r="I10" s="10">
        <v>10</v>
      </c>
      <c r="J10" s="8">
        <v>34440</v>
      </c>
      <c r="K10" s="7">
        <f t="shared" si="5"/>
        <v>18942</v>
      </c>
      <c r="L10" s="7">
        <v>1632</v>
      </c>
      <c r="M10" s="7">
        <f t="shared" si="6"/>
        <v>1028.7</v>
      </c>
      <c r="N10" s="7">
        <f t="shared" si="7"/>
        <v>24843.105</v>
      </c>
      <c r="O10" s="7">
        <f t="shared" si="8"/>
        <v>12421.5525</v>
      </c>
      <c r="P10" s="11">
        <f t="shared" si="9"/>
        <v>37300</v>
      </c>
      <c r="Q10" s="12">
        <v>10</v>
      </c>
    </row>
    <row r="11" spans="1:17">
      <c r="A11" s="5">
        <v>12.5</v>
      </c>
      <c r="B11" s="6">
        <f t="shared" si="0"/>
        <v>51600</v>
      </c>
      <c r="C11" s="7">
        <f t="shared" si="1"/>
        <v>17196.112500000003</v>
      </c>
      <c r="D11" s="7">
        <f t="shared" si="2"/>
        <v>34392.225000000006</v>
      </c>
      <c r="E11" s="7">
        <f t="shared" si="3"/>
        <v>1637.7250000000004</v>
      </c>
      <c r="F11" s="7">
        <f t="shared" si="4"/>
        <v>30156.500000000004</v>
      </c>
      <c r="G11" s="8">
        <v>2598</v>
      </c>
      <c r="H11" s="9">
        <v>54830</v>
      </c>
      <c r="I11" s="10">
        <v>12.5</v>
      </c>
      <c r="J11" s="8">
        <v>54830</v>
      </c>
      <c r="K11" s="7">
        <f t="shared" si="5"/>
        <v>30156.500000000004</v>
      </c>
      <c r="L11" s="7">
        <v>2598</v>
      </c>
      <c r="M11" s="7">
        <f t="shared" si="6"/>
        <v>1637.7250000000004</v>
      </c>
      <c r="N11" s="7">
        <f t="shared" si="7"/>
        <v>39551.058750000004</v>
      </c>
      <c r="O11" s="7">
        <f t="shared" si="8"/>
        <v>19775.529375000002</v>
      </c>
      <c r="P11" s="11">
        <f t="shared" si="9"/>
        <v>59350</v>
      </c>
      <c r="Q11" s="12">
        <v>12.5</v>
      </c>
    </row>
    <row r="12" spans="1:17">
      <c r="A12" s="5">
        <v>15</v>
      </c>
      <c r="B12" s="6">
        <f t="shared" si="0"/>
        <v>51950</v>
      </c>
      <c r="C12" s="7">
        <f t="shared" si="1"/>
        <v>17311.875</v>
      </c>
      <c r="D12" s="7">
        <f t="shared" si="2"/>
        <v>34623.75</v>
      </c>
      <c r="E12" s="7">
        <f t="shared" si="3"/>
        <v>1648.75</v>
      </c>
      <c r="F12" s="7">
        <f t="shared" si="4"/>
        <v>30360.000000000004</v>
      </c>
      <c r="G12" s="8">
        <v>2615</v>
      </c>
      <c r="H12" s="9">
        <v>55200</v>
      </c>
      <c r="I12" s="10">
        <v>15</v>
      </c>
      <c r="J12" s="8">
        <v>55200</v>
      </c>
      <c r="K12" s="7">
        <f t="shared" si="5"/>
        <v>30360.000000000004</v>
      </c>
      <c r="L12" s="7">
        <v>2615</v>
      </c>
      <c r="M12" s="7">
        <f t="shared" si="6"/>
        <v>1648.75</v>
      </c>
      <c r="N12" s="7">
        <f t="shared" si="7"/>
        <v>39817.3125</v>
      </c>
      <c r="O12" s="7">
        <f t="shared" si="8"/>
        <v>19908.65625</v>
      </c>
      <c r="P12" s="11">
        <f t="shared" si="9"/>
        <v>59750</v>
      </c>
      <c r="Q12" s="12">
        <v>15</v>
      </c>
    </row>
    <row r="13" spans="1:17">
      <c r="A13" s="5">
        <v>20</v>
      </c>
      <c r="B13" s="6">
        <f t="shared" si="0"/>
        <v>64600</v>
      </c>
      <c r="C13" s="7">
        <f t="shared" si="1"/>
        <v>21517.912499999999</v>
      </c>
      <c r="D13" s="7">
        <f t="shared" si="2"/>
        <v>43035.824999999997</v>
      </c>
      <c r="E13" s="7">
        <f t="shared" si="3"/>
        <v>2049.3250000000003</v>
      </c>
      <c r="F13" s="7">
        <f t="shared" si="4"/>
        <v>37735.5</v>
      </c>
      <c r="G13" s="8">
        <v>3251</v>
      </c>
      <c r="H13" s="9">
        <v>68610</v>
      </c>
      <c r="I13" s="10">
        <v>20</v>
      </c>
      <c r="J13" s="8">
        <v>68610</v>
      </c>
      <c r="K13" s="7">
        <f t="shared" si="5"/>
        <v>37735.5</v>
      </c>
      <c r="L13" s="7">
        <v>3251</v>
      </c>
      <c r="M13" s="7">
        <f t="shared" si="6"/>
        <v>2049.3250000000003</v>
      </c>
      <c r="N13" s="7">
        <f t="shared" si="7"/>
        <v>49491.198749999996</v>
      </c>
      <c r="O13" s="7">
        <f t="shared" si="8"/>
        <v>24745.599374999998</v>
      </c>
      <c r="P13" s="11">
        <f t="shared" si="9"/>
        <v>74250</v>
      </c>
      <c r="Q13" s="12">
        <v>20</v>
      </c>
    </row>
    <row r="14" spans="1:17">
      <c r="A14" s="5">
        <v>25</v>
      </c>
      <c r="B14" s="6">
        <f t="shared" si="0"/>
        <v>87250</v>
      </c>
      <c r="C14" s="7">
        <f t="shared" si="1"/>
        <v>29070.037500000006</v>
      </c>
      <c r="D14" s="7">
        <f t="shared" si="2"/>
        <v>58140.075000000012</v>
      </c>
      <c r="E14" s="7">
        <f t="shared" si="3"/>
        <v>2768.5750000000007</v>
      </c>
      <c r="F14" s="7">
        <f t="shared" si="4"/>
        <v>50979.500000000007</v>
      </c>
      <c r="G14" s="8">
        <v>4392</v>
      </c>
      <c r="H14" s="9">
        <v>92690</v>
      </c>
      <c r="I14" s="10">
        <v>25</v>
      </c>
      <c r="J14" s="8">
        <v>92690</v>
      </c>
      <c r="K14" s="7">
        <f t="shared" si="5"/>
        <v>50979.500000000007</v>
      </c>
      <c r="L14" s="7">
        <v>4392</v>
      </c>
      <c r="M14" s="7">
        <f t="shared" si="6"/>
        <v>2768.5750000000007</v>
      </c>
      <c r="N14" s="7">
        <f t="shared" si="7"/>
        <v>66861.086250000008</v>
      </c>
      <c r="O14" s="7">
        <f t="shared" si="8"/>
        <v>33430.543125000004</v>
      </c>
      <c r="P14" s="11">
        <f t="shared" si="9"/>
        <v>100300</v>
      </c>
      <c r="Q14" s="12">
        <v>25</v>
      </c>
    </row>
    <row r="15" spans="1:17">
      <c r="A15" s="5">
        <v>30</v>
      </c>
      <c r="B15" s="6">
        <f t="shared" si="0"/>
        <v>97200</v>
      </c>
      <c r="C15" s="7">
        <f t="shared" si="1"/>
        <v>32397.225000000006</v>
      </c>
      <c r="D15" s="7">
        <f t="shared" si="2"/>
        <v>64794.450000000012</v>
      </c>
      <c r="E15" s="7">
        <f t="shared" si="3"/>
        <v>3085.4500000000007</v>
      </c>
      <c r="F15" s="7">
        <f t="shared" si="4"/>
        <v>56815.000000000007</v>
      </c>
      <c r="G15" s="8">
        <v>4894</v>
      </c>
      <c r="H15" s="9">
        <v>103300</v>
      </c>
      <c r="I15" s="10">
        <v>30</v>
      </c>
      <c r="J15" s="8">
        <v>103300</v>
      </c>
      <c r="K15" s="7">
        <f t="shared" si="5"/>
        <v>56815.000000000007</v>
      </c>
      <c r="L15" s="7">
        <v>4894</v>
      </c>
      <c r="M15" s="7">
        <f t="shared" si="6"/>
        <v>3085.4500000000007</v>
      </c>
      <c r="N15" s="7">
        <f t="shared" si="7"/>
        <v>74513.617500000008</v>
      </c>
      <c r="O15" s="7">
        <f t="shared" si="8"/>
        <v>37256.808750000004</v>
      </c>
      <c r="P15" s="11">
        <f t="shared" si="9"/>
        <v>111800</v>
      </c>
      <c r="Q15" s="12">
        <v>30</v>
      </c>
    </row>
    <row r="16" spans="1:17">
      <c r="A16" s="5">
        <v>40</v>
      </c>
      <c r="B16" s="6">
        <f t="shared" si="0"/>
        <v>131250</v>
      </c>
      <c r="C16" s="7">
        <f t="shared" si="1"/>
        <v>43738.275000000001</v>
      </c>
      <c r="D16" s="7">
        <f t="shared" si="2"/>
        <v>87476.55</v>
      </c>
      <c r="E16" s="7">
        <f t="shared" si="3"/>
        <v>4165.55</v>
      </c>
      <c r="F16" s="7">
        <f t="shared" si="4"/>
        <v>76703</v>
      </c>
      <c r="G16" s="8">
        <v>6608</v>
      </c>
      <c r="H16" s="9">
        <v>139460</v>
      </c>
      <c r="I16" s="10">
        <v>40</v>
      </c>
      <c r="J16" s="8">
        <v>139460</v>
      </c>
      <c r="K16" s="7">
        <f t="shared" si="5"/>
        <v>76703</v>
      </c>
      <c r="L16" s="7">
        <v>6608</v>
      </c>
      <c r="M16" s="7">
        <f t="shared" si="6"/>
        <v>4165.55</v>
      </c>
      <c r="N16" s="7">
        <f t="shared" si="7"/>
        <v>100598.0325</v>
      </c>
      <c r="O16" s="7">
        <f t="shared" si="8"/>
        <v>50299.016250000001</v>
      </c>
      <c r="P16" s="11">
        <f t="shared" si="9"/>
        <v>150900</v>
      </c>
      <c r="Q16" s="12">
        <v>40</v>
      </c>
    </row>
    <row r="17" spans="1:17" ht="15.75" thickBot="1">
      <c r="A17" s="13">
        <v>50</v>
      </c>
      <c r="B17" s="14">
        <f t="shared" si="0"/>
        <v>161200</v>
      </c>
      <c r="C17" s="15">
        <f t="shared" si="1"/>
        <v>53720.887500000012</v>
      </c>
      <c r="D17" s="15">
        <f t="shared" si="2"/>
        <v>107441.77500000002</v>
      </c>
      <c r="E17" s="15">
        <f t="shared" si="3"/>
        <v>5116.2750000000015</v>
      </c>
      <c r="F17" s="15">
        <f t="shared" si="4"/>
        <v>94209.500000000015</v>
      </c>
      <c r="G17" s="16">
        <v>8116</v>
      </c>
      <c r="H17" s="17">
        <v>171290</v>
      </c>
      <c r="I17" s="18">
        <v>50</v>
      </c>
      <c r="J17" s="16">
        <v>171290</v>
      </c>
      <c r="K17" s="15">
        <f t="shared" si="5"/>
        <v>94209.500000000015</v>
      </c>
      <c r="L17" s="15">
        <v>8116</v>
      </c>
      <c r="M17" s="15">
        <f t="shared" si="6"/>
        <v>5116.2750000000015</v>
      </c>
      <c r="N17" s="15">
        <f t="shared" si="7"/>
        <v>123558.04125000002</v>
      </c>
      <c r="O17" s="15">
        <f t="shared" si="8"/>
        <v>61779.020625000012</v>
      </c>
      <c r="P17" s="19">
        <f t="shared" si="9"/>
        <v>185350</v>
      </c>
      <c r="Q17" s="20">
        <v>50</v>
      </c>
    </row>
    <row r="18" spans="1:17" ht="15.75" thickBot="1">
      <c r="A18" s="21"/>
      <c r="Q18" s="22"/>
    </row>
    <row r="19" spans="1:17" ht="24" thickBot="1">
      <c r="A19" s="341" t="s">
        <v>187</v>
      </c>
      <c r="B19" s="342"/>
      <c r="C19" s="342"/>
      <c r="D19" s="342"/>
      <c r="E19" s="342"/>
      <c r="F19" s="342"/>
      <c r="G19" s="342"/>
      <c r="H19" s="343"/>
      <c r="I19" s="1"/>
      <c r="J19" s="344" t="s">
        <v>188</v>
      </c>
      <c r="K19" s="344"/>
      <c r="L19" s="344"/>
      <c r="M19" s="344"/>
      <c r="N19" s="344"/>
      <c r="O19" s="344"/>
      <c r="P19" s="344"/>
      <c r="Q19" s="345"/>
    </row>
    <row r="20" spans="1:17" ht="30.75" thickBot="1">
      <c r="A20" s="2" t="s">
        <v>176</v>
      </c>
      <c r="B20" s="2" t="s">
        <v>177</v>
      </c>
      <c r="C20" s="3" t="s">
        <v>178</v>
      </c>
      <c r="D20" s="3" t="s">
        <v>179</v>
      </c>
      <c r="E20" s="3" t="s">
        <v>180</v>
      </c>
      <c r="F20" s="3" t="s">
        <v>181</v>
      </c>
      <c r="G20" s="3" t="s">
        <v>182</v>
      </c>
      <c r="H20" s="3" t="s">
        <v>183</v>
      </c>
      <c r="I20" s="3" t="s">
        <v>176</v>
      </c>
      <c r="J20" s="3" t="s">
        <v>183</v>
      </c>
      <c r="K20" s="3" t="s">
        <v>181</v>
      </c>
      <c r="L20" s="3" t="s">
        <v>182</v>
      </c>
      <c r="M20" s="3" t="s">
        <v>184</v>
      </c>
      <c r="N20" s="3" t="s">
        <v>185</v>
      </c>
      <c r="O20" s="3" t="s">
        <v>186</v>
      </c>
      <c r="P20" s="3" t="s">
        <v>177</v>
      </c>
      <c r="Q20" s="4" t="s">
        <v>176</v>
      </c>
    </row>
    <row r="21" spans="1:17">
      <c r="A21" s="23">
        <v>0.5</v>
      </c>
      <c r="B21" s="6">
        <f t="shared" ref="B21:B35" si="10">CEILING(C21+D21,50)</f>
        <v>17250</v>
      </c>
      <c r="C21" s="7">
        <f t="shared" ref="C21:C35" si="11">D21*0.5</f>
        <v>5748.4875000000002</v>
      </c>
      <c r="D21" s="7">
        <f t="shared" ref="D21:D35" si="12">E21+F21+G21</f>
        <v>11496.975</v>
      </c>
      <c r="E21" s="7">
        <f t="shared" ref="E21:E35" si="13">(G21+F21)*0.05</f>
        <v>547.47500000000002</v>
      </c>
      <c r="F21" s="7">
        <f t="shared" ref="F21:F35" si="14">H21*0.55</f>
        <v>10081.5</v>
      </c>
      <c r="G21" s="8">
        <v>868</v>
      </c>
      <c r="H21" s="9">
        <v>18330</v>
      </c>
      <c r="I21" s="10">
        <v>0.5</v>
      </c>
      <c r="J21" s="9">
        <v>18330</v>
      </c>
      <c r="K21" s="7">
        <f t="shared" ref="K21:K35" si="15">J21*0.55</f>
        <v>10081.5</v>
      </c>
      <c r="L21" s="7">
        <v>868</v>
      </c>
      <c r="M21" s="7">
        <f t="shared" ref="M21:M35" si="16">(K21+L21)*0.05</f>
        <v>547.47500000000002</v>
      </c>
      <c r="N21" s="7">
        <f t="shared" ref="N21:N35" si="17">(K21+L21+M21)*1.15</f>
        <v>13221.52125</v>
      </c>
      <c r="O21" s="7">
        <f t="shared" ref="O21:O35" si="18">N21*0.5</f>
        <v>6610.7606249999999</v>
      </c>
      <c r="P21" s="11">
        <f t="shared" ref="P21:P35" si="19">CEILING((N21+O21),50)</f>
        <v>19850</v>
      </c>
      <c r="Q21" s="12">
        <v>0.5</v>
      </c>
    </row>
    <row r="22" spans="1:17">
      <c r="A22" s="23">
        <v>1</v>
      </c>
      <c r="B22" s="6">
        <f t="shared" si="10"/>
        <v>19800</v>
      </c>
      <c r="C22" s="7">
        <f t="shared" si="11"/>
        <v>6595.3125000000009</v>
      </c>
      <c r="D22" s="7">
        <f t="shared" si="12"/>
        <v>13190.625000000002</v>
      </c>
      <c r="E22" s="7">
        <f t="shared" si="13"/>
        <v>628.12500000000011</v>
      </c>
      <c r="F22" s="7">
        <f t="shared" si="14"/>
        <v>11566.500000000002</v>
      </c>
      <c r="G22" s="8">
        <v>996</v>
      </c>
      <c r="H22" s="9">
        <v>21030</v>
      </c>
      <c r="I22" s="10">
        <v>1</v>
      </c>
      <c r="J22" s="9">
        <v>21030</v>
      </c>
      <c r="K22" s="7">
        <f t="shared" si="15"/>
        <v>11566.500000000002</v>
      </c>
      <c r="L22" s="7">
        <v>996</v>
      </c>
      <c r="M22" s="7">
        <f t="shared" si="16"/>
        <v>628.12500000000011</v>
      </c>
      <c r="N22" s="7">
        <f t="shared" si="17"/>
        <v>15169.218750000002</v>
      </c>
      <c r="O22" s="7">
        <f t="shared" si="18"/>
        <v>7584.6093750000009</v>
      </c>
      <c r="P22" s="11">
        <f t="shared" si="19"/>
        <v>22800</v>
      </c>
      <c r="Q22" s="12">
        <v>1</v>
      </c>
    </row>
    <row r="23" spans="1:17">
      <c r="A23" s="23">
        <v>1.5</v>
      </c>
      <c r="B23" s="6">
        <f t="shared" si="10"/>
        <v>22600</v>
      </c>
      <c r="C23" s="7">
        <f t="shared" si="11"/>
        <v>7533.2250000000013</v>
      </c>
      <c r="D23" s="7">
        <f t="shared" si="12"/>
        <v>15066.450000000003</v>
      </c>
      <c r="E23" s="7">
        <f t="shared" si="13"/>
        <v>717.45000000000016</v>
      </c>
      <c r="F23" s="7">
        <f t="shared" si="14"/>
        <v>13211.000000000002</v>
      </c>
      <c r="G23" s="8">
        <v>1138</v>
      </c>
      <c r="H23" s="9">
        <v>24020</v>
      </c>
      <c r="I23" s="10">
        <v>1.5</v>
      </c>
      <c r="J23" s="9">
        <v>24020</v>
      </c>
      <c r="K23" s="7">
        <f t="shared" si="15"/>
        <v>13211.000000000002</v>
      </c>
      <c r="L23" s="7">
        <v>1138</v>
      </c>
      <c r="M23" s="7">
        <f t="shared" si="16"/>
        <v>717.45000000000016</v>
      </c>
      <c r="N23" s="7">
        <f t="shared" si="17"/>
        <v>17326.417500000003</v>
      </c>
      <c r="O23" s="7">
        <f t="shared" si="18"/>
        <v>8663.2087500000016</v>
      </c>
      <c r="P23" s="11">
        <f t="shared" si="19"/>
        <v>26000</v>
      </c>
      <c r="Q23" s="12">
        <v>1.5</v>
      </c>
    </row>
    <row r="24" spans="1:17">
      <c r="A24" s="23">
        <v>2</v>
      </c>
      <c r="B24" s="6">
        <f t="shared" si="10"/>
        <v>24550</v>
      </c>
      <c r="C24" s="7">
        <f t="shared" si="11"/>
        <v>8182.3875000000007</v>
      </c>
      <c r="D24" s="7">
        <f t="shared" si="12"/>
        <v>16364.775000000001</v>
      </c>
      <c r="E24" s="7">
        <f t="shared" si="13"/>
        <v>779.27500000000009</v>
      </c>
      <c r="F24" s="7">
        <f t="shared" si="14"/>
        <v>14349.500000000002</v>
      </c>
      <c r="G24" s="8">
        <v>1236</v>
      </c>
      <c r="H24" s="9">
        <v>26090</v>
      </c>
      <c r="I24" s="10">
        <v>2</v>
      </c>
      <c r="J24" s="9">
        <v>26090</v>
      </c>
      <c r="K24" s="7">
        <f t="shared" si="15"/>
        <v>14349.500000000002</v>
      </c>
      <c r="L24" s="7">
        <v>1236</v>
      </c>
      <c r="M24" s="7">
        <f t="shared" si="16"/>
        <v>779.27500000000009</v>
      </c>
      <c r="N24" s="7">
        <f t="shared" si="17"/>
        <v>18819.491249999999</v>
      </c>
      <c r="O24" s="7">
        <f t="shared" si="18"/>
        <v>9409.7456249999996</v>
      </c>
      <c r="P24" s="11">
        <f t="shared" si="19"/>
        <v>28250</v>
      </c>
      <c r="Q24" s="12">
        <v>2</v>
      </c>
    </row>
    <row r="25" spans="1:17">
      <c r="A25" s="23">
        <v>3</v>
      </c>
      <c r="B25" s="6">
        <f t="shared" si="10"/>
        <v>31250</v>
      </c>
      <c r="C25" s="7">
        <f t="shared" si="11"/>
        <v>10409.4375</v>
      </c>
      <c r="D25" s="7">
        <f t="shared" si="12"/>
        <v>20818.875</v>
      </c>
      <c r="E25" s="7">
        <f t="shared" si="13"/>
        <v>991.375</v>
      </c>
      <c r="F25" s="7">
        <f t="shared" si="14"/>
        <v>18254.5</v>
      </c>
      <c r="G25" s="8">
        <v>1573</v>
      </c>
      <c r="H25" s="9">
        <v>33190</v>
      </c>
      <c r="I25" s="10">
        <v>3</v>
      </c>
      <c r="J25" s="9">
        <v>33190</v>
      </c>
      <c r="K25" s="7">
        <f t="shared" si="15"/>
        <v>18254.5</v>
      </c>
      <c r="L25" s="7">
        <v>1573</v>
      </c>
      <c r="M25" s="7">
        <f t="shared" si="16"/>
        <v>991.375</v>
      </c>
      <c r="N25" s="7">
        <f t="shared" si="17"/>
        <v>23941.706249999999</v>
      </c>
      <c r="O25" s="7">
        <f t="shared" si="18"/>
        <v>11970.853125</v>
      </c>
      <c r="P25" s="11">
        <f t="shared" si="19"/>
        <v>35950</v>
      </c>
      <c r="Q25" s="12">
        <v>3</v>
      </c>
    </row>
    <row r="26" spans="1:17">
      <c r="A26" s="23">
        <v>5</v>
      </c>
      <c r="B26" s="6">
        <f t="shared" si="10"/>
        <v>39600</v>
      </c>
      <c r="C26" s="7">
        <f t="shared" si="11"/>
        <v>13191.150000000001</v>
      </c>
      <c r="D26" s="7">
        <f t="shared" si="12"/>
        <v>26382.300000000003</v>
      </c>
      <c r="E26" s="7">
        <f t="shared" si="13"/>
        <v>1256.3000000000002</v>
      </c>
      <c r="F26" s="7">
        <f t="shared" si="14"/>
        <v>23133.000000000004</v>
      </c>
      <c r="G26" s="8">
        <v>1993</v>
      </c>
      <c r="H26" s="9">
        <v>42060</v>
      </c>
      <c r="I26" s="10">
        <v>5</v>
      </c>
      <c r="J26" s="9">
        <v>42060</v>
      </c>
      <c r="K26" s="7">
        <f t="shared" si="15"/>
        <v>23133.000000000004</v>
      </c>
      <c r="L26" s="7">
        <v>1993</v>
      </c>
      <c r="M26" s="7">
        <f t="shared" si="16"/>
        <v>1256.3000000000002</v>
      </c>
      <c r="N26" s="7">
        <f t="shared" si="17"/>
        <v>30339.645</v>
      </c>
      <c r="O26" s="7">
        <f t="shared" si="18"/>
        <v>15169.8225</v>
      </c>
      <c r="P26" s="11">
        <f t="shared" si="19"/>
        <v>45550</v>
      </c>
      <c r="Q26" s="12">
        <v>5</v>
      </c>
    </row>
    <row r="27" spans="1:17">
      <c r="A27" s="23">
        <v>7.5</v>
      </c>
      <c r="B27" s="6">
        <f t="shared" si="10"/>
        <v>54450</v>
      </c>
      <c r="C27" s="7">
        <f t="shared" si="11"/>
        <v>18146.100000000002</v>
      </c>
      <c r="D27" s="7">
        <f t="shared" si="12"/>
        <v>36292.200000000004</v>
      </c>
      <c r="E27" s="7">
        <f t="shared" si="13"/>
        <v>1728.2</v>
      </c>
      <c r="F27" s="7">
        <f t="shared" si="14"/>
        <v>31823.000000000004</v>
      </c>
      <c r="G27" s="8">
        <v>2741</v>
      </c>
      <c r="H27" s="9">
        <v>57860</v>
      </c>
      <c r="I27" s="10">
        <v>7.5</v>
      </c>
      <c r="J27" s="9">
        <v>57860</v>
      </c>
      <c r="K27" s="7">
        <f t="shared" si="15"/>
        <v>31823.000000000004</v>
      </c>
      <c r="L27" s="7">
        <v>2741</v>
      </c>
      <c r="M27" s="7">
        <f t="shared" si="16"/>
        <v>1728.2</v>
      </c>
      <c r="N27" s="7">
        <f t="shared" si="17"/>
        <v>41736.029999999992</v>
      </c>
      <c r="O27" s="7">
        <f t="shared" si="18"/>
        <v>20868.014999999996</v>
      </c>
      <c r="P27" s="11">
        <f t="shared" si="19"/>
        <v>62650</v>
      </c>
      <c r="Q27" s="12">
        <v>7.5</v>
      </c>
    </row>
    <row r="28" spans="1:17">
      <c r="A28" s="23">
        <v>10</v>
      </c>
      <c r="B28" s="6">
        <f t="shared" si="10"/>
        <v>62050</v>
      </c>
      <c r="C28" s="7">
        <f t="shared" si="11"/>
        <v>20667.674999999999</v>
      </c>
      <c r="D28" s="7">
        <f t="shared" si="12"/>
        <v>41335.35</v>
      </c>
      <c r="E28" s="7">
        <f t="shared" si="13"/>
        <v>1968.3500000000001</v>
      </c>
      <c r="F28" s="7">
        <f t="shared" si="14"/>
        <v>36245</v>
      </c>
      <c r="G28" s="8">
        <v>3122</v>
      </c>
      <c r="H28" s="9">
        <v>65900</v>
      </c>
      <c r="I28" s="10">
        <v>10</v>
      </c>
      <c r="J28" s="9">
        <v>65900</v>
      </c>
      <c r="K28" s="7">
        <f t="shared" si="15"/>
        <v>36245</v>
      </c>
      <c r="L28" s="7">
        <v>3122</v>
      </c>
      <c r="M28" s="7">
        <f t="shared" si="16"/>
        <v>1968.3500000000001</v>
      </c>
      <c r="N28" s="7">
        <f t="shared" si="17"/>
        <v>47535.652499999997</v>
      </c>
      <c r="O28" s="7">
        <f t="shared" si="18"/>
        <v>23767.826249999998</v>
      </c>
      <c r="P28" s="11">
        <f t="shared" si="19"/>
        <v>71350</v>
      </c>
      <c r="Q28" s="12">
        <v>10</v>
      </c>
    </row>
    <row r="29" spans="1:17">
      <c r="A29" s="23">
        <v>12.5</v>
      </c>
      <c r="B29" s="6">
        <f t="shared" si="10"/>
        <v>94900</v>
      </c>
      <c r="C29" s="7">
        <f t="shared" si="11"/>
        <v>31622.587500000005</v>
      </c>
      <c r="D29" s="7">
        <f t="shared" si="12"/>
        <v>63245.17500000001</v>
      </c>
      <c r="E29" s="7">
        <f t="shared" si="13"/>
        <v>3011.6750000000006</v>
      </c>
      <c r="F29" s="7">
        <f t="shared" si="14"/>
        <v>55456.500000000007</v>
      </c>
      <c r="G29" s="8">
        <v>4777</v>
      </c>
      <c r="H29" s="9">
        <v>100830</v>
      </c>
      <c r="I29" s="10">
        <v>12.5</v>
      </c>
      <c r="J29" s="9">
        <v>100830</v>
      </c>
      <c r="K29" s="7">
        <f t="shared" si="15"/>
        <v>55456.500000000007</v>
      </c>
      <c r="L29" s="7">
        <v>4777</v>
      </c>
      <c r="M29" s="7">
        <f t="shared" si="16"/>
        <v>3011.6750000000006</v>
      </c>
      <c r="N29" s="7">
        <f t="shared" si="17"/>
        <v>72731.951250000013</v>
      </c>
      <c r="O29" s="7">
        <f t="shared" si="18"/>
        <v>36365.975625000006</v>
      </c>
      <c r="P29" s="11">
        <f t="shared" si="19"/>
        <v>109100</v>
      </c>
      <c r="Q29" s="12">
        <v>12.5</v>
      </c>
    </row>
    <row r="30" spans="1:17">
      <c r="A30" s="23">
        <v>15</v>
      </c>
      <c r="B30" s="6">
        <f t="shared" si="10"/>
        <v>100250</v>
      </c>
      <c r="C30" s="7">
        <f t="shared" si="11"/>
        <v>33410.212500000009</v>
      </c>
      <c r="D30" s="7">
        <f t="shared" si="12"/>
        <v>66820.425000000017</v>
      </c>
      <c r="E30" s="7">
        <f t="shared" si="13"/>
        <v>3181.9250000000006</v>
      </c>
      <c r="F30" s="7">
        <f t="shared" si="14"/>
        <v>58591.500000000007</v>
      </c>
      <c r="G30" s="8">
        <v>5047</v>
      </c>
      <c r="H30" s="9">
        <v>106530</v>
      </c>
      <c r="I30" s="10">
        <v>15</v>
      </c>
      <c r="J30" s="9">
        <v>106530</v>
      </c>
      <c r="K30" s="7">
        <f t="shared" si="15"/>
        <v>58591.500000000007</v>
      </c>
      <c r="L30" s="7">
        <v>5047</v>
      </c>
      <c r="M30" s="7">
        <f t="shared" si="16"/>
        <v>3181.9250000000006</v>
      </c>
      <c r="N30" s="7">
        <f t="shared" si="17"/>
        <v>76843.488750000004</v>
      </c>
      <c r="O30" s="7">
        <f t="shared" si="18"/>
        <v>38421.744375000002</v>
      </c>
      <c r="P30" s="11">
        <f t="shared" si="19"/>
        <v>115300</v>
      </c>
      <c r="Q30" s="12">
        <v>15</v>
      </c>
    </row>
    <row r="31" spans="1:17">
      <c r="A31" s="23">
        <v>20</v>
      </c>
      <c r="B31" s="6">
        <f t="shared" si="10"/>
        <v>122150</v>
      </c>
      <c r="C31" s="7">
        <f t="shared" si="11"/>
        <v>40711.387499999997</v>
      </c>
      <c r="D31" s="7">
        <f t="shared" si="12"/>
        <v>81422.774999999994</v>
      </c>
      <c r="E31" s="7">
        <f t="shared" si="13"/>
        <v>3877.2750000000001</v>
      </c>
      <c r="F31" s="7">
        <f t="shared" si="14"/>
        <v>71395.5</v>
      </c>
      <c r="G31" s="8">
        <v>6150</v>
      </c>
      <c r="H31" s="9">
        <v>129810</v>
      </c>
      <c r="I31" s="10">
        <v>20</v>
      </c>
      <c r="J31" s="9">
        <v>129810</v>
      </c>
      <c r="K31" s="7">
        <f t="shared" si="15"/>
        <v>71395.5</v>
      </c>
      <c r="L31" s="7">
        <v>6150</v>
      </c>
      <c r="M31" s="7">
        <f t="shared" si="16"/>
        <v>3877.2750000000001</v>
      </c>
      <c r="N31" s="7">
        <f t="shared" si="17"/>
        <v>93636.191249999989</v>
      </c>
      <c r="O31" s="7">
        <f t="shared" si="18"/>
        <v>46818.095624999994</v>
      </c>
      <c r="P31" s="11">
        <f t="shared" si="19"/>
        <v>140500</v>
      </c>
      <c r="Q31" s="12">
        <v>20</v>
      </c>
    </row>
    <row r="32" spans="1:17">
      <c r="A32" s="23">
        <v>25</v>
      </c>
      <c r="B32" s="6">
        <f t="shared" si="10"/>
        <v>138150</v>
      </c>
      <c r="C32" s="7">
        <f t="shared" si="11"/>
        <v>46033.574999999997</v>
      </c>
      <c r="D32" s="7">
        <f t="shared" si="12"/>
        <v>92067.15</v>
      </c>
      <c r="E32" s="7">
        <f t="shared" si="13"/>
        <v>4384.1500000000005</v>
      </c>
      <c r="F32" s="7">
        <f t="shared" si="14"/>
        <v>80729</v>
      </c>
      <c r="G32" s="8">
        <v>6954</v>
      </c>
      <c r="H32" s="9">
        <v>146780</v>
      </c>
      <c r="I32" s="10">
        <v>25</v>
      </c>
      <c r="J32" s="9">
        <v>146780</v>
      </c>
      <c r="K32" s="7">
        <f t="shared" si="15"/>
        <v>80729</v>
      </c>
      <c r="L32" s="7">
        <v>6954</v>
      </c>
      <c r="M32" s="7">
        <f t="shared" si="16"/>
        <v>4384.1500000000005</v>
      </c>
      <c r="N32" s="7">
        <f t="shared" si="17"/>
        <v>105877.22249999999</v>
      </c>
      <c r="O32" s="7">
        <f t="shared" si="18"/>
        <v>52938.611249999994</v>
      </c>
      <c r="P32" s="11">
        <f t="shared" si="19"/>
        <v>158850</v>
      </c>
      <c r="Q32" s="12">
        <v>25</v>
      </c>
    </row>
    <row r="33" spans="1:17">
      <c r="A33" s="23">
        <v>30</v>
      </c>
      <c r="B33" s="6">
        <f t="shared" si="10"/>
        <v>164150</v>
      </c>
      <c r="C33" s="7">
        <f t="shared" si="11"/>
        <v>54714.975000000006</v>
      </c>
      <c r="D33" s="7">
        <f t="shared" si="12"/>
        <v>109429.95000000001</v>
      </c>
      <c r="E33" s="7">
        <f t="shared" si="13"/>
        <v>5210.9500000000007</v>
      </c>
      <c r="F33" s="7">
        <f t="shared" si="14"/>
        <v>95953.000000000015</v>
      </c>
      <c r="G33" s="8">
        <v>8266</v>
      </c>
      <c r="H33" s="9">
        <v>174460</v>
      </c>
      <c r="I33" s="10">
        <v>30</v>
      </c>
      <c r="J33" s="9">
        <v>174460</v>
      </c>
      <c r="K33" s="7">
        <f t="shared" si="15"/>
        <v>95953.000000000015</v>
      </c>
      <c r="L33" s="7">
        <v>8266</v>
      </c>
      <c r="M33" s="7">
        <f t="shared" si="16"/>
        <v>5210.9500000000007</v>
      </c>
      <c r="N33" s="7">
        <f t="shared" si="17"/>
        <v>125844.4425</v>
      </c>
      <c r="O33" s="7">
        <f t="shared" si="18"/>
        <v>62922.221250000002</v>
      </c>
      <c r="P33" s="11">
        <f t="shared" si="19"/>
        <v>188800</v>
      </c>
      <c r="Q33" s="12">
        <v>30</v>
      </c>
    </row>
    <row r="34" spans="1:17">
      <c r="A34" s="23">
        <v>40</v>
      </c>
      <c r="B34" s="6">
        <f t="shared" si="10"/>
        <v>221200</v>
      </c>
      <c r="C34" s="7">
        <f t="shared" si="11"/>
        <v>73723.912500000006</v>
      </c>
      <c r="D34" s="7">
        <f t="shared" si="12"/>
        <v>147447.82500000001</v>
      </c>
      <c r="E34" s="7">
        <f t="shared" si="13"/>
        <v>7021.3250000000007</v>
      </c>
      <c r="F34" s="7">
        <f t="shared" si="14"/>
        <v>129288.50000000001</v>
      </c>
      <c r="G34" s="8">
        <v>11138</v>
      </c>
      <c r="H34" s="9">
        <v>235070</v>
      </c>
      <c r="I34" s="10">
        <v>40</v>
      </c>
      <c r="J34" s="9">
        <v>235070</v>
      </c>
      <c r="K34" s="7">
        <f t="shared" si="15"/>
        <v>129288.50000000001</v>
      </c>
      <c r="L34" s="7">
        <v>11138</v>
      </c>
      <c r="M34" s="7">
        <f t="shared" si="16"/>
        <v>7021.3250000000007</v>
      </c>
      <c r="N34" s="7">
        <f t="shared" si="17"/>
        <v>169564.99875</v>
      </c>
      <c r="O34" s="7">
        <f t="shared" si="18"/>
        <v>84782.499374999999</v>
      </c>
      <c r="P34" s="11">
        <f t="shared" si="19"/>
        <v>254350</v>
      </c>
      <c r="Q34" s="12">
        <v>40</v>
      </c>
    </row>
    <row r="35" spans="1:17" ht="15.75" thickBot="1">
      <c r="A35" s="24">
        <v>50</v>
      </c>
      <c r="B35" s="14">
        <f t="shared" si="10"/>
        <v>288100</v>
      </c>
      <c r="C35" s="15">
        <f t="shared" si="11"/>
        <v>96025.65</v>
      </c>
      <c r="D35" s="15">
        <f t="shared" si="12"/>
        <v>192051.3</v>
      </c>
      <c r="E35" s="15">
        <f t="shared" si="13"/>
        <v>9145.3000000000011</v>
      </c>
      <c r="F35" s="15">
        <f t="shared" si="14"/>
        <v>168399</v>
      </c>
      <c r="G35" s="16">
        <v>14507</v>
      </c>
      <c r="H35" s="17">
        <v>306180</v>
      </c>
      <c r="I35" s="18">
        <v>50</v>
      </c>
      <c r="J35" s="17">
        <v>306180</v>
      </c>
      <c r="K35" s="15">
        <f t="shared" si="15"/>
        <v>168399</v>
      </c>
      <c r="L35" s="15">
        <v>14507</v>
      </c>
      <c r="M35" s="15">
        <f t="shared" si="16"/>
        <v>9145.3000000000011</v>
      </c>
      <c r="N35" s="15">
        <f t="shared" si="17"/>
        <v>220858.99499999997</v>
      </c>
      <c r="O35" s="15">
        <f t="shared" si="18"/>
        <v>110429.49749999998</v>
      </c>
      <c r="P35" s="19">
        <f t="shared" si="19"/>
        <v>331300</v>
      </c>
      <c r="Q35" s="20">
        <v>50</v>
      </c>
    </row>
    <row r="36" spans="1:17" ht="15.75" thickBot="1">
      <c r="A36" s="25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7"/>
    </row>
  </sheetData>
  <mergeCells count="4">
    <mergeCell ref="A1:H1"/>
    <mergeCell ref="J1:Q1"/>
    <mergeCell ref="A19:H19"/>
    <mergeCell ref="J19:Q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21"/>
  <sheetViews>
    <sheetView topLeftCell="D1" workbookViewId="0">
      <selection activeCell="B1" sqref="B1:W1048576"/>
    </sheetView>
  </sheetViews>
  <sheetFormatPr defaultRowHeight="15"/>
  <cols>
    <col min="3" max="22" width="8.85546875" customWidth="1"/>
    <col min="26" max="34" width="0" hidden="1" customWidth="1"/>
    <col min="36" max="44" width="0" hidden="1" customWidth="1"/>
  </cols>
  <sheetData>
    <row r="1" spans="1:45" ht="57">
      <c r="A1" s="28" t="s">
        <v>189</v>
      </c>
      <c r="B1" s="29" t="s">
        <v>190</v>
      </c>
      <c r="C1" s="30" t="s">
        <v>186</v>
      </c>
      <c r="D1" s="31" t="s">
        <v>191</v>
      </c>
      <c r="E1" s="31" t="s">
        <v>192</v>
      </c>
      <c r="F1" s="31" t="s">
        <v>193</v>
      </c>
      <c r="G1" s="31" t="s">
        <v>194</v>
      </c>
      <c r="H1" s="31" t="s">
        <v>182</v>
      </c>
      <c r="I1" s="31" t="s">
        <v>195</v>
      </c>
      <c r="J1" s="31" t="s">
        <v>196</v>
      </c>
      <c r="K1" s="32" t="s">
        <v>197</v>
      </c>
      <c r="L1" s="32" t="s">
        <v>189</v>
      </c>
      <c r="M1" s="32" t="s">
        <v>189</v>
      </c>
      <c r="N1" s="32" t="s">
        <v>197</v>
      </c>
      <c r="O1" s="31" t="s">
        <v>196</v>
      </c>
      <c r="P1" s="31" t="s">
        <v>195</v>
      </c>
      <c r="Q1" s="31" t="s">
        <v>182</v>
      </c>
      <c r="R1" s="31" t="s">
        <v>194</v>
      </c>
      <c r="S1" s="31" t="s">
        <v>193</v>
      </c>
      <c r="T1" s="31" t="s">
        <v>192</v>
      </c>
      <c r="U1" s="31" t="s">
        <v>191</v>
      </c>
      <c r="V1" s="33" t="s">
        <v>186</v>
      </c>
      <c r="W1" s="34" t="s">
        <v>190</v>
      </c>
      <c r="X1" s="35" t="s">
        <v>189</v>
      </c>
      <c r="Y1" s="36" t="s">
        <v>189</v>
      </c>
      <c r="Z1" s="37" t="s">
        <v>197</v>
      </c>
      <c r="AA1" s="38" t="s">
        <v>196</v>
      </c>
      <c r="AB1" s="38" t="s">
        <v>195</v>
      </c>
      <c r="AC1" s="38" t="s">
        <v>182</v>
      </c>
      <c r="AD1" s="38" t="s">
        <v>194</v>
      </c>
      <c r="AE1" s="38" t="s">
        <v>193</v>
      </c>
      <c r="AF1" s="38" t="s">
        <v>192</v>
      </c>
      <c r="AG1" s="38" t="s">
        <v>191</v>
      </c>
      <c r="AH1" s="38" t="s">
        <v>186</v>
      </c>
      <c r="AI1" s="39" t="s">
        <v>198</v>
      </c>
      <c r="AJ1" s="37" t="s">
        <v>197</v>
      </c>
      <c r="AK1" s="38" t="s">
        <v>196</v>
      </c>
      <c r="AL1" s="38" t="s">
        <v>195</v>
      </c>
      <c r="AM1" s="38" t="s">
        <v>182</v>
      </c>
      <c r="AN1" s="38" t="s">
        <v>194</v>
      </c>
      <c r="AO1" s="38" t="s">
        <v>193</v>
      </c>
      <c r="AP1" s="38" t="s">
        <v>192</v>
      </c>
      <c r="AQ1" s="38" t="s">
        <v>191</v>
      </c>
      <c r="AR1" s="38" t="s">
        <v>186</v>
      </c>
      <c r="AS1" s="40" t="s">
        <v>199</v>
      </c>
    </row>
    <row r="2" spans="1:45">
      <c r="A2" s="41" t="s">
        <v>200</v>
      </c>
      <c r="B2" s="42"/>
      <c r="C2" s="43"/>
      <c r="D2" s="44"/>
      <c r="E2" s="44"/>
      <c r="F2" s="44"/>
      <c r="G2" s="44"/>
      <c r="H2" s="44"/>
      <c r="I2" s="44"/>
      <c r="J2" s="44"/>
      <c r="K2" s="45"/>
      <c r="L2" s="46" t="s">
        <v>200</v>
      </c>
      <c r="M2" s="46" t="s">
        <v>201</v>
      </c>
      <c r="N2" s="45"/>
      <c r="O2" s="44"/>
      <c r="P2" s="44"/>
      <c r="Q2" s="44"/>
      <c r="R2" s="44"/>
      <c r="S2" s="44"/>
      <c r="T2" s="44"/>
      <c r="U2" s="44"/>
      <c r="V2" s="47"/>
      <c r="W2" s="48"/>
      <c r="X2" s="49" t="s">
        <v>201</v>
      </c>
      <c r="Y2" s="50" t="s">
        <v>202</v>
      </c>
      <c r="Z2" s="51"/>
      <c r="AA2" s="52"/>
      <c r="AB2" s="52"/>
      <c r="AC2" s="52"/>
      <c r="AD2" s="52"/>
      <c r="AE2" s="52"/>
      <c r="AF2" s="52"/>
      <c r="AG2" s="52"/>
      <c r="AH2" s="52"/>
      <c r="AI2" s="53"/>
      <c r="AJ2" s="51"/>
      <c r="AK2" s="52"/>
      <c r="AL2" s="52"/>
      <c r="AM2" s="52"/>
      <c r="AN2" s="52"/>
      <c r="AO2" s="52"/>
      <c r="AP2" s="52"/>
      <c r="AQ2" s="52"/>
      <c r="AR2" s="52"/>
      <c r="AS2" s="54"/>
    </row>
    <row r="3" spans="1:45" ht="15.75">
      <c r="A3" s="41">
        <v>180</v>
      </c>
      <c r="B3" s="55">
        <f>C3+D3</f>
        <v>9846.6363189719996</v>
      </c>
      <c r="C3" s="56">
        <f>D3*0.5</f>
        <v>3282.2121063240002</v>
      </c>
      <c r="D3" s="57">
        <f>SUM(E3:K3)</f>
        <v>6564.4242126480003</v>
      </c>
      <c r="E3" s="58">
        <f>(F3+G3+H3+I3+J3+K3)*0.15</f>
        <v>856.229245128</v>
      </c>
      <c r="F3" s="57">
        <v>0</v>
      </c>
      <c r="G3" s="57">
        <f>(H3+I3+J3+K3)*0.02</f>
        <v>111.92539151999999</v>
      </c>
      <c r="H3" s="57">
        <f>(I3+J3+K3)*0.1236</f>
        <v>615.60957599999995</v>
      </c>
      <c r="I3" s="57">
        <f>(K3)*0.01</f>
        <v>48.83</v>
      </c>
      <c r="J3" s="57">
        <f>(K3)*0.01</f>
        <v>48.83</v>
      </c>
      <c r="K3" s="45">
        <v>4883</v>
      </c>
      <c r="L3" s="46">
        <v>180</v>
      </c>
      <c r="M3" s="46"/>
      <c r="N3" s="45"/>
      <c r="O3" s="44"/>
      <c r="P3" s="44"/>
      <c r="Q3" s="44"/>
      <c r="R3" s="44"/>
      <c r="S3" s="44"/>
      <c r="T3" s="44"/>
      <c r="U3" s="44"/>
      <c r="V3" s="47"/>
      <c r="W3" s="48">
        <v>0</v>
      </c>
      <c r="X3" s="49"/>
      <c r="Y3" s="59"/>
      <c r="Z3" s="51"/>
      <c r="AA3" s="52"/>
      <c r="AB3" s="52"/>
      <c r="AC3" s="52"/>
      <c r="AD3" s="52"/>
      <c r="AE3" s="52"/>
      <c r="AF3" s="52"/>
      <c r="AG3" s="52"/>
      <c r="AH3" s="52"/>
      <c r="AI3" s="53">
        <v>0</v>
      </c>
      <c r="AJ3" s="51"/>
      <c r="AK3" s="52"/>
      <c r="AL3" s="52"/>
      <c r="AM3" s="52"/>
      <c r="AN3" s="52"/>
      <c r="AO3" s="52"/>
      <c r="AP3" s="52"/>
      <c r="AQ3" s="52"/>
      <c r="AR3" s="52"/>
      <c r="AS3" s="54">
        <v>0</v>
      </c>
    </row>
    <row r="4" spans="1:45">
      <c r="A4" s="60">
        <v>200</v>
      </c>
      <c r="B4" s="55">
        <f>C4+D4</f>
        <v>10463.689506276</v>
      </c>
      <c r="C4" s="56">
        <f>D4*0.5</f>
        <v>3487.896502092</v>
      </c>
      <c r="D4" s="57">
        <f>SUM(E4:K4)</f>
        <v>6975.793004184</v>
      </c>
      <c r="E4" s="58">
        <f>(F4+G4+H4+I4+J4+K4)*0.15</f>
        <v>909.88604402400006</v>
      </c>
      <c r="F4" s="57">
        <v>0</v>
      </c>
      <c r="G4" s="57">
        <f>(H4+I4+J4+K4)*0.02</f>
        <v>118.93935216</v>
      </c>
      <c r="H4" s="57">
        <f>(I4+J4+K4)*0.1236</f>
        <v>654.18760799999995</v>
      </c>
      <c r="I4" s="57">
        <f>(K4)*0.01</f>
        <v>51.89</v>
      </c>
      <c r="J4" s="57">
        <f>(K4)*0.01</f>
        <v>51.89</v>
      </c>
      <c r="K4" s="61">
        <v>5189</v>
      </c>
      <c r="L4" s="62">
        <v>200</v>
      </c>
      <c r="M4" s="62">
        <v>200</v>
      </c>
      <c r="N4" s="61">
        <v>9678</v>
      </c>
      <c r="O4" s="57">
        <f>(N4)*0.01</f>
        <v>96.78</v>
      </c>
      <c r="P4" s="57">
        <f>(N4)*0.01</f>
        <v>96.78</v>
      </c>
      <c r="Q4" s="57">
        <f>(N4+O4+P4)*0.1236</f>
        <v>1220.1248160000002</v>
      </c>
      <c r="R4" s="57">
        <f>(N4+O4+P4+Q4)*0.02</f>
        <v>221.83369632000003</v>
      </c>
      <c r="S4" s="57">
        <v>0</v>
      </c>
      <c r="T4" s="58">
        <f>(N4+Q4+R4+O4+P4+S4)*0.15</f>
        <v>1697.027776848</v>
      </c>
      <c r="U4" s="57">
        <f>CEILING(SUM(N4:T4),50)</f>
        <v>13050</v>
      </c>
      <c r="V4" s="63">
        <f>CEILING(U4*0.5,50)</f>
        <v>6550</v>
      </c>
      <c r="W4" s="64">
        <f>CEILING(SUM(U4+V4),50)</f>
        <v>19600</v>
      </c>
      <c r="X4" s="65">
        <v>200</v>
      </c>
      <c r="Y4" s="66" t="s">
        <v>203</v>
      </c>
      <c r="Z4" s="67">
        <v>2988</v>
      </c>
      <c r="AA4" s="68">
        <f>(Z4)*0.01</f>
        <v>29.88</v>
      </c>
      <c r="AB4" s="68">
        <f>(Z4)*0.01</f>
        <v>29.88</v>
      </c>
      <c r="AC4" s="68">
        <f>(Z4+AA4+AB4)*0.1236</f>
        <v>376.70313600000003</v>
      </c>
      <c r="AD4" s="68">
        <f>(Z4+AA4+AB4+AC4)*0.02</f>
        <v>68.489262720000013</v>
      </c>
      <c r="AE4" s="68">
        <v>0</v>
      </c>
      <c r="AF4" s="69">
        <f>(Z4+AC4+AD4+AA4+AB4+AE4)*0.15</f>
        <v>523.94285980800009</v>
      </c>
      <c r="AG4" s="68">
        <f>CEILING(SUM(Z4:AF4),50)</f>
        <v>4050</v>
      </c>
      <c r="AH4" s="68">
        <f>CEILING(AG4*0.5,50)</f>
        <v>2050</v>
      </c>
      <c r="AI4" s="70">
        <f>CEILING(SUM(AG4+AH4),50)</f>
        <v>6100</v>
      </c>
      <c r="AJ4" s="67">
        <v>5767</v>
      </c>
      <c r="AK4" s="68">
        <f>(AJ4)*0.01</f>
        <v>57.67</v>
      </c>
      <c r="AL4" s="68">
        <f>(AJ4)*0.01</f>
        <v>57.67</v>
      </c>
      <c r="AM4" s="68">
        <f>(AJ4+AK4+AL4)*0.1236</f>
        <v>727.05722400000002</v>
      </c>
      <c r="AN4" s="68">
        <f>(AJ4+AK4+AL4+AM4)*0.02</f>
        <v>132.18794448</v>
      </c>
      <c r="AO4" s="68">
        <v>0</v>
      </c>
      <c r="AP4" s="69">
        <f>(AJ4+AM4+AN4+AK4+AL4+AO4)*0.15</f>
        <v>1011.2377752719999</v>
      </c>
      <c r="AQ4" s="68">
        <f>CEILING(SUM(AJ4:AP4),50)</f>
        <v>7800</v>
      </c>
      <c r="AR4" s="68">
        <f>CEILING(AQ4*0.5,50)</f>
        <v>3900</v>
      </c>
      <c r="AS4" s="71">
        <f>CEILING(SUM(AQ4+AR4),50)</f>
        <v>11700</v>
      </c>
    </row>
    <row r="5" spans="1:45">
      <c r="A5" s="60">
        <v>225</v>
      </c>
      <c r="B5" s="55">
        <f t="shared" ref="B5:B21" si="0">C5+D5</f>
        <v>11110.99039884</v>
      </c>
      <c r="C5" s="56">
        <f t="shared" ref="C5:C21" si="1">D5*0.5</f>
        <v>3703.6634662799997</v>
      </c>
      <c r="D5" s="57">
        <f t="shared" ref="D5:D21" si="2">SUM(E5:K5)</f>
        <v>7407.3269325599995</v>
      </c>
      <c r="E5" s="58">
        <f t="shared" ref="E5:E21" si="3">(F5+G5+H5+I5+J5+K5)*0.15</f>
        <v>966.17307815999993</v>
      </c>
      <c r="F5" s="57">
        <v>0</v>
      </c>
      <c r="G5" s="57">
        <f t="shared" ref="G5:G21" si="4">(H5+I5+J5+K5)*0.02</f>
        <v>126.2971344</v>
      </c>
      <c r="H5" s="57">
        <f t="shared" ref="H5:H21" si="5">(I5+J5+K5)*0.1236</f>
        <v>694.65671999999995</v>
      </c>
      <c r="I5" s="57">
        <f t="shared" ref="I5:I21" si="6">(K5)*0.01</f>
        <v>55.1</v>
      </c>
      <c r="J5" s="57">
        <f t="shared" ref="J5:J21" si="7">(K5)*0.01</f>
        <v>55.1</v>
      </c>
      <c r="K5" s="61">
        <v>5510</v>
      </c>
      <c r="L5" s="62">
        <v>225</v>
      </c>
      <c r="M5" s="62">
        <v>225</v>
      </c>
      <c r="N5" s="61">
        <v>9767</v>
      </c>
      <c r="O5" s="57">
        <f t="shared" ref="O5:O21" si="8">(N5)*0.01</f>
        <v>97.67</v>
      </c>
      <c r="P5" s="57">
        <f t="shared" ref="P5:P21" si="9">(N5)*0.01</f>
        <v>97.67</v>
      </c>
      <c r="Q5" s="57">
        <f t="shared" ref="Q5:Q21" si="10">(N5+O5+P5)*0.1236</f>
        <v>1231.3452240000001</v>
      </c>
      <c r="R5" s="57">
        <f t="shared" ref="R5:R21" si="11">(N5+O5+P5+Q5)*0.02</f>
        <v>223.87370448000001</v>
      </c>
      <c r="S5" s="57">
        <v>0</v>
      </c>
      <c r="T5" s="58">
        <f t="shared" ref="T5:T21" si="12">(N5+Q5+R5+O5+P5+S5)*0.15</f>
        <v>1712.6338392720002</v>
      </c>
      <c r="U5" s="57">
        <f t="shared" ref="U5:U21" si="13">CEILING(SUM(N5:T5),50)</f>
        <v>13150</v>
      </c>
      <c r="V5" s="63">
        <f t="shared" ref="V5:V21" si="14">CEILING(U5*0.5,50)</f>
        <v>6600</v>
      </c>
      <c r="W5" s="64">
        <f t="shared" ref="W5:W21" si="15">CEILING(SUM(U5+V5),50)</f>
        <v>19750</v>
      </c>
      <c r="X5" s="65">
        <v>225</v>
      </c>
      <c r="Y5" s="66" t="s">
        <v>204</v>
      </c>
      <c r="Z5" s="67">
        <v>3124</v>
      </c>
      <c r="AA5" s="68">
        <f t="shared" ref="AA5:AA21" si="16">(Z5)*0.01</f>
        <v>31.240000000000002</v>
      </c>
      <c r="AB5" s="68">
        <f t="shared" ref="AB5:AB21" si="17">(Z5)*0.01</f>
        <v>31.240000000000002</v>
      </c>
      <c r="AC5" s="68">
        <f t="shared" ref="AC5:AC21" si="18">(Z5+AA5+AB5)*0.1236</f>
        <v>393.84892799999994</v>
      </c>
      <c r="AD5" s="68">
        <f t="shared" ref="AD5:AD21" si="19">(Z5+AA5+AB5+AC5)*0.02</f>
        <v>71.606578559999988</v>
      </c>
      <c r="AE5" s="68">
        <v>0</v>
      </c>
      <c r="AF5" s="69">
        <f t="shared" ref="AF5:AF21" si="20">(Z5+AC5+AD5+AA5+AB5+AE5)*0.15</f>
        <v>547.79032598399988</v>
      </c>
      <c r="AG5" s="68">
        <f t="shared" ref="AG5:AG21" si="21">CEILING(SUM(Z5:AF5),50)</f>
        <v>4200</v>
      </c>
      <c r="AH5" s="68">
        <f t="shared" ref="AH5:AH21" si="22">CEILING(AG5*0.5,50)</f>
        <v>2100</v>
      </c>
      <c r="AI5" s="70">
        <f t="shared" ref="AI5:AI21" si="23">CEILING(SUM(AG5+AH5),50)</f>
        <v>6300</v>
      </c>
      <c r="AJ5" s="67">
        <v>6051</v>
      </c>
      <c r="AK5" s="68">
        <f t="shared" ref="AK5:AK21" si="24">(AJ5)*0.01</f>
        <v>60.51</v>
      </c>
      <c r="AL5" s="68">
        <f t="shared" ref="AL5:AL21" si="25">(AJ5)*0.01</f>
        <v>60.51</v>
      </c>
      <c r="AM5" s="68">
        <f t="shared" ref="AM5:AM21" si="26">(AJ5+AK5+AL5)*0.1236</f>
        <v>762.86167200000011</v>
      </c>
      <c r="AN5" s="68">
        <f t="shared" ref="AN5:AN21" si="27">(AJ5+AK5+AL5+AM5)*0.02</f>
        <v>138.69763344</v>
      </c>
      <c r="AO5" s="68">
        <v>0</v>
      </c>
      <c r="AP5" s="69">
        <f t="shared" ref="AP5:AP21" si="28">(AJ5+AM5+AN5+AK5+AL5+AO5)*0.15</f>
        <v>1061.036895816</v>
      </c>
      <c r="AQ5" s="68">
        <f t="shared" ref="AQ5:AQ21" si="29">CEILING(SUM(AJ5:AP5),50)</f>
        <v>8150</v>
      </c>
      <c r="AR5" s="68">
        <f t="shared" ref="AR5:AR21" si="30">CEILING(AQ5*0.5,50)</f>
        <v>4100</v>
      </c>
      <c r="AS5" s="71">
        <f t="shared" ref="AS5:AS21" si="31">CEILING(SUM(AQ5+AR5),50)</f>
        <v>12250</v>
      </c>
    </row>
    <row r="6" spans="1:45">
      <c r="A6" s="60">
        <v>250</v>
      </c>
      <c r="B6" s="55">
        <f t="shared" si="0"/>
        <v>11258.195897771999</v>
      </c>
      <c r="C6" s="56">
        <f t="shared" si="1"/>
        <v>3752.7319659239997</v>
      </c>
      <c r="D6" s="57">
        <f t="shared" si="2"/>
        <v>7505.4639318479994</v>
      </c>
      <c r="E6" s="58">
        <f t="shared" si="3"/>
        <v>978.97355632799997</v>
      </c>
      <c r="F6" s="57">
        <v>0</v>
      </c>
      <c r="G6" s="57">
        <f t="shared" si="4"/>
        <v>127.97039952</v>
      </c>
      <c r="H6" s="57">
        <f t="shared" si="5"/>
        <v>703.85997599999996</v>
      </c>
      <c r="I6" s="57">
        <f t="shared" si="6"/>
        <v>55.83</v>
      </c>
      <c r="J6" s="57">
        <f t="shared" si="7"/>
        <v>55.83</v>
      </c>
      <c r="K6" s="61">
        <v>5583</v>
      </c>
      <c r="L6" s="62">
        <v>250</v>
      </c>
      <c r="M6" s="62">
        <v>250</v>
      </c>
      <c r="N6" s="61">
        <v>9883</v>
      </c>
      <c r="O6" s="57">
        <f t="shared" si="8"/>
        <v>98.83</v>
      </c>
      <c r="P6" s="57">
        <f t="shared" si="9"/>
        <v>98.83</v>
      </c>
      <c r="Q6" s="57">
        <f t="shared" si="10"/>
        <v>1245.969576</v>
      </c>
      <c r="R6" s="57">
        <f t="shared" si="11"/>
        <v>226.53259151999998</v>
      </c>
      <c r="S6" s="57">
        <v>0</v>
      </c>
      <c r="T6" s="58">
        <f t="shared" si="12"/>
        <v>1732.9743251279997</v>
      </c>
      <c r="U6" s="57">
        <f t="shared" si="13"/>
        <v>13300</v>
      </c>
      <c r="V6" s="63">
        <f t="shared" si="14"/>
        <v>6650</v>
      </c>
      <c r="W6" s="64">
        <f t="shared" si="15"/>
        <v>19950</v>
      </c>
      <c r="X6" s="65">
        <v>250</v>
      </c>
      <c r="Y6" s="66" t="s">
        <v>205</v>
      </c>
      <c r="Z6" s="67">
        <v>3540</v>
      </c>
      <c r="AA6" s="68">
        <f t="shared" si="16"/>
        <v>35.4</v>
      </c>
      <c r="AB6" s="68">
        <f t="shared" si="17"/>
        <v>35.4</v>
      </c>
      <c r="AC6" s="68">
        <f t="shared" si="18"/>
        <v>446.29488000000003</v>
      </c>
      <c r="AD6" s="68">
        <f t="shared" si="19"/>
        <v>81.141897600000007</v>
      </c>
      <c r="AE6" s="68">
        <v>0</v>
      </c>
      <c r="AF6" s="69">
        <f t="shared" si="20"/>
        <v>620.7355166399999</v>
      </c>
      <c r="AG6" s="68">
        <f t="shared" si="21"/>
        <v>4800</v>
      </c>
      <c r="AH6" s="68">
        <f t="shared" si="22"/>
        <v>2400</v>
      </c>
      <c r="AI6" s="70">
        <f t="shared" si="23"/>
        <v>7200</v>
      </c>
      <c r="AJ6" s="67">
        <v>6797</v>
      </c>
      <c r="AK6" s="68">
        <f t="shared" si="24"/>
        <v>67.97</v>
      </c>
      <c r="AL6" s="68">
        <f t="shared" si="25"/>
        <v>67.97</v>
      </c>
      <c r="AM6" s="68">
        <f t="shared" si="26"/>
        <v>856.91138400000011</v>
      </c>
      <c r="AN6" s="68">
        <f t="shared" si="27"/>
        <v>155.79702768000001</v>
      </c>
      <c r="AO6" s="68">
        <v>0</v>
      </c>
      <c r="AP6" s="69">
        <f t="shared" si="28"/>
        <v>1191.8472617519999</v>
      </c>
      <c r="AQ6" s="68">
        <f t="shared" si="29"/>
        <v>9150</v>
      </c>
      <c r="AR6" s="68">
        <f t="shared" si="30"/>
        <v>4600</v>
      </c>
      <c r="AS6" s="71">
        <f t="shared" si="31"/>
        <v>13750</v>
      </c>
    </row>
    <row r="7" spans="1:45">
      <c r="A7" s="60">
        <v>280</v>
      </c>
      <c r="B7" s="55">
        <f t="shared" si="0"/>
        <v>13139.603164944001</v>
      </c>
      <c r="C7" s="56">
        <f t="shared" si="1"/>
        <v>4379.867721648</v>
      </c>
      <c r="D7" s="57">
        <f t="shared" si="2"/>
        <v>8759.7354432960001</v>
      </c>
      <c r="E7" s="58">
        <f t="shared" si="3"/>
        <v>1142.5741882560001</v>
      </c>
      <c r="F7" s="57">
        <v>0</v>
      </c>
      <c r="G7" s="57">
        <f t="shared" si="4"/>
        <v>149.35610303999999</v>
      </c>
      <c r="H7" s="57">
        <f t="shared" si="5"/>
        <v>821.48515199999997</v>
      </c>
      <c r="I7" s="57">
        <f t="shared" si="6"/>
        <v>65.16</v>
      </c>
      <c r="J7" s="57">
        <f t="shared" si="7"/>
        <v>65.16</v>
      </c>
      <c r="K7" s="61">
        <v>6516</v>
      </c>
      <c r="L7" s="62">
        <v>280</v>
      </c>
      <c r="M7" s="62">
        <v>280</v>
      </c>
      <c r="N7" s="61">
        <v>10554</v>
      </c>
      <c r="O7" s="57">
        <f t="shared" si="8"/>
        <v>105.54</v>
      </c>
      <c r="P7" s="57">
        <f t="shared" si="9"/>
        <v>105.54</v>
      </c>
      <c r="Q7" s="57">
        <f t="shared" si="10"/>
        <v>1330.5638880000001</v>
      </c>
      <c r="R7" s="57">
        <f t="shared" si="11"/>
        <v>241.91287776000004</v>
      </c>
      <c r="S7" s="57">
        <v>0</v>
      </c>
      <c r="T7" s="58">
        <f t="shared" si="12"/>
        <v>1850.6335148640003</v>
      </c>
      <c r="U7" s="57">
        <f t="shared" si="13"/>
        <v>14200</v>
      </c>
      <c r="V7" s="63">
        <f t="shared" si="14"/>
        <v>7100</v>
      </c>
      <c r="W7" s="64">
        <f t="shared" si="15"/>
        <v>21300</v>
      </c>
      <c r="X7" s="65">
        <v>280</v>
      </c>
      <c r="Y7" s="66" t="s">
        <v>206</v>
      </c>
      <c r="Z7" s="67">
        <v>3822</v>
      </c>
      <c r="AA7" s="68">
        <f t="shared" si="16"/>
        <v>38.22</v>
      </c>
      <c r="AB7" s="68">
        <f t="shared" si="17"/>
        <v>38.22</v>
      </c>
      <c r="AC7" s="68">
        <f t="shared" si="18"/>
        <v>481.84718399999997</v>
      </c>
      <c r="AD7" s="68">
        <f t="shared" si="19"/>
        <v>87.605743680000003</v>
      </c>
      <c r="AE7" s="68">
        <v>0</v>
      </c>
      <c r="AF7" s="69">
        <f t="shared" si="20"/>
        <v>670.18393915200011</v>
      </c>
      <c r="AG7" s="68">
        <f t="shared" si="21"/>
        <v>5150</v>
      </c>
      <c r="AH7" s="68">
        <f t="shared" si="22"/>
        <v>2600</v>
      </c>
      <c r="AI7" s="70">
        <f t="shared" si="23"/>
        <v>7750</v>
      </c>
      <c r="AJ7" s="67">
        <v>7256</v>
      </c>
      <c r="AK7" s="68">
        <f t="shared" si="24"/>
        <v>72.56</v>
      </c>
      <c r="AL7" s="68">
        <f t="shared" si="25"/>
        <v>72.56</v>
      </c>
      <c r="AM7" s="68">
        <f t="shared" si="26"/>
        <v>914.77843200000007</v>
      </c>
      <c r="AN7" s="68">
        <f t="shared" si="27"/>
        <v>166.31796864000003</v>
      </c>
      <c r="AO7" s="68">
        <v>0</v>
      </c>
      <c r="AP7" s="69">
        <f t="shared" si="28"/>
        <v>1272.332460096</v>
      </c>
      <c r="AQ7" s="68">
        <f t="shared" si="29"/>
        <v>9800</v>
      </c>
      <c r="AR7" s="68">
        <f t="shared" si="30"/>
        <v>4900</v>
      </c>
      <c r="AS7" s="71">
        <f t="shared" si="31"/>
        <v>14700</v>
      </c>
    </row>
    <row r="8" spans="1:45">
      <c r="A8" s="60">
        <v>315</v>
      </c>
      <c r="B8" s="55">
        <f t="shared" si="0"/>
        <v>14785.078331088</v>
      </c>
      <c r="C8" s="56">
        <f t="shared" si="1"/>
        <v>4928.3594436960002</v>
      </c>
      <c r="D8" s="57">
        <f t="shared" si="2"/>
        <v>9856.7188873920004</v>
      </c>
      <c r="E8" s="58">
        <f t="shared" si="3"/>
        <v>1285.6589853119999</v>
      </c>
      <c r="F8" s="57">
        <v>0</v>
      </c>
      <c r="G8" s="57">
        <f t="shared" si="4"/>
        <v>168.05999808000001</v>
      </c>
      <c r="H8" s="57">
        <f t="shared" si="5"/>
        <v>924.35990400000003</v>
      </c>
      <c r="I8" s="57">
        <f t="shared" si="6"/>
        <v>73.320000000000007</v>
      </c>
      <c r="J8" s="57">
        <f t="shared" si="7"/>
        <v>73.320000000000007</v>
      </c>
      <c r="K8" s="61">
        <v>7332</v>
      </c>
      <c r="L8" s="62">
        <v>315</v>
      </c>
      <c r="M8" s="62">
        <v>315</v>
      </c>
      <c r="N8" s="61">
        <v>10860</v>
      </c>
      <c r="O8" s="57">
        <f t="shared" si="8"/>
        <v>108.60000000000001</v>
      </c>
      <c r="P8" s="57">
        <f t="shared" si="9"/>
        <v>108.60000000000001</v>
      </c>
      <c r="Q8" s="57">
        <f t="shared" si="10"/>
        <v>1369.14192</v>
      </c>
      <c r="R8" s="57">
        <f t="shared" si="11"/>
        <v>248.92683840000001</v>
      </c>
      <c r="S8" s="57">
        <v>0</v>
      </c>
      <c r="T8" s="58">
        <f t="shared" si="12"/>
        <v>1904.2903137600001</v>
      </c>
      <c r="U8" s="57">
        <f t="shared" si="13"/>
        <v>14600</v>
      </c>
      <c r="V8" s="63">
        <f t="shared" si="14"/>
        <v>7300</v>
      </c>
      <c r="W8" s="64">
        <f t="shared" si="15"/>
        <v>21900</v>
      </c>
      <c r="X8" s="65">
        <v>315</v>
      </c>
      <c r="Y8" s="66" t="s">
        <v>207</v>
      </c>
      <c r="Z8" s="67">
        <v>3822</v>
      </c>
      <c r="AA8" s="68">
        <f t="shared" si="16"/>
        <v>38.22</v>
      </c>
      <c r="AB8" s="68">
        <f t="shared" si="17"/>
        <v>38.22</v>
      </c>
      <c r="AC8" s="68">
        <f t="shared" si="18"/>
        <v>481.84718399999997</v>
      </c>
      <c r="AD8" s="68">
        <f t="shared" si="19"/>
        <v>87.605743680000003</v>
      </c>
      <c r="AE8" s="68">
        <v>0</v>
      </c>
      <c r="AF8" s="69">
        <f t="shared" si="20"/>
        <v>670.18393915200011</v>
      </c>
      <c r="AG8" s="68">
        <f t="shared" si="21"/>
        <v>5150</v>
      </c>
      <c r="AH8" s="68">
        <f t="shared" si="22"/>
        <v>2600</v>
      </c>
      <c r="AI8" s="70">
        <f t="shared" si="23"/>
        <v>7750</v>
      </c>
      <c r="AJ8" s="67">
        <v>7445</v>
      </c>
      <c r="AK8" s="68">
        <f t="shared" si="24"/>
        <v>74.45</v>
      </c>
      <c r="AL8" s="68">
        <f t="shared" si="25"/>
        <v>74.45</v>
      </c>
      <c r="AM8" s="68">
        <f t="shared" si="26"/>
        <v>938.60604000000001</v>
      </c>
      <c r="AN8" s="68">
        <f t="shared" si="27"/>
        <v>170.6501208</v>
      </c>
      <c r="AO8" s="68">
        <v>0</v>
      </c>
      <c r="AP8" s="69">
        <f t="shared" si="28"/>
        <v>1305.4734241200003</v>
      </c>
      <c r="AQ8" s="68">
        <f t="shared" si="29"/>
        <v>10050</v>
      </c>
      <c r="AR8" s="68">
        <f t="shared" si="30"/>
        <v>5050</v>
      </c>
      <c r="AS8" s="71">
        <f t="shared" si="31"/>
        <v>15100</v>
      </c>
    </row>
    <row r="9" spans="1:45">
      <c r="A9" s="60">
        <v>355</v>
      </c>
      <c r="B9" s="55">
        <f t="shared" si="0"/>
        <v>17753.386473936</v>
      </c>
      <c r="C9" s="56">
        <f t="shared" si="1"/>
        <v>5917.7954913119993</v>
      </c>
      <c r="D9" s="57">
        <f t="shared" si="2"/>
        <v>11835.590982623999</v>
      </c>
      <c r="E9" s="58">
        <f t="shared" si="3"/>
        <v>1543.7727368639999</v>
      </c>
      <c r="F9" s="57">
        <v>0</v>
      </c>
      <c r="G9" s="57">
        <f t="shared" si="4"/>
        <v>201.80035776</v>
      </c>
      <c r="H9" s="57">
        <f t="shared" si="5"/>
        <v>1109.9378879999999</v>
      </c>
      <c r="I9" s="57">
        <f t="shared" si="6"/>
        <v>88.04</v>
      </c>
      <c r="J9" s="57">
        <f t="shared" si="7"/>
        <v>88.04</v>
      </c>
      <c r="K9" s="61">
        <v>8804</v>
      </c>
      <c r="L9" s="62">
        <v>355</v>
      </c>
      <c r="M9" s="62">
        <v>355</v>
      </c>
      <c r="N9" s="61">
        <v>11632</v>
      </c>
      <c r="O9" s="57">
        <f t="shared" si="8"/>
        <v>116.32000000000001</v>
      </c>
      <c r="P9" s="57">
        <f t="shared" si="9"/>
        <v>116.32000000000001</v>
      </c>
      <c r="Q9" s="57">
        <f t="shared" si="10"/>
        <v>1466.4695039999999</v>
      </c>
      <c r="R9" s="57">
        <f t="shared" si="11"/>
        <v>266.62219008</v>
      </c>
      <c r="S9" s="57">
        <v>0</v>
      </c>
      <c r="T9" s="58">
        <f t="shared" si="12"/>
        <v>2039.6597541119997</v>
      </c>
      <c r="U9" s="57">
        <f t="shared" si="13"/>
        <v>15650</v>
      </c>
      <c r="V9" s="63">
        <f t="shared" si="14"/>
        <v>7850</v>
      </c>
      <c r="W9" s="64">
        <f t="shared" si="15"/>
        <v>23500</v>
      </c>
      <c r="X9" s="65">
        <v>355</v>
      </c>
      <c r="Y9" s="66" t="s">
        <v>208</v>
      </c>
      <c r="Z9" s="67">
        <v>3911</v>
      </c>
      <c r="AA9" s="68">
        <f t="shared" si="16"/>
        <v>39.11</v>
      </c>
      <c r="AB9" s="68">
        <f t="shared" si="17"/>
        <v>39.11</v>
      </c>
      <c r="AC9" s="68">
        <f t="shared" si="18"/>
        <v>493.06759200000005</v>
      </c>
      <c r="AD9" s="68">
        <f t="shared" si="19"/>
        <v>89.645751840000017</v>
      </c>
      <c r="AE9" s="68">
        <v>0</v>
      </c>
      <c r="AF9" s="69">
        <f t="shared" si="20"/>
        <v>685.79000157600001</v>
      </c>
      <c r="AG9" s="68">
        <f t="shared" si="21"/>
        <v>5300</v>
      </c>
      <c r="AH9" s="68">
        <f t="shared" si="22"/>
        <v>2650</v>
      </c>
      <c r="AI9" s="70">
        <f t="shared" si="23"/>
        <v>7950</v>
      </c>
      <c r="AJ9" s="67">
        <v>7539</v>
      </c>
      <c r="AK9" s="68">
        <f t="shared" si="24"/>
        <v>75.39</v>
      </c>
      <c r="AL9" s="68">
        <f t="shared" si="25"/>
        <v>75.39</v>
      </c>
      <c r="AM9" s="68">
        <f t="shared" si="26"/>
        <v>950.45680800000014</v>
      </c>
      <c r="AN9" s="68">
        <f t="shared" si="27"/>
        <v>172.80473616000003</v>
      </c>
      <c r="AO9" s="68">
        <v>0</v>
      </c>
      <c r="AP9" s="69">
        <f t="shared" si="28"/>
        <v>1321.9562316239999</v>
      </c>
      <c r="AQ9" s="68">
        <f t="shared" si="29"/>
        <v>10150</v>
      </c>
      <c r="AR9" s="68">
        <f t="shared" si="30"/>
        <v>5100</v>
      </c>
      <c r="AS9" s="71">
        <f t="shared" si="31"/>
        <v>15250</v>
      </c>
    </row>
    <row r="10" spans="1:45">
      <c r="A10" s="60">
        <v>400</v>
      </c>
      <c r="B10" s="55">
        <f t="shared" si="0"/>
        <v>20693.463425208</v>
      </c>
      <c r="C10" s="56">
        <f t="shared" si="1"/>
        <v>6897.8211417359998</v>
      </c>
      <c r="D10" s="57">
        <f t="shared" si="2"/>
        <v>13795.642283472</v>
      </c>
      <c r="E10" s="58">
        <f t="shared" si="3"/>
        <v>1799.4316021919999</v>
      </c>
      <c r="F10" s="57">
        <v>0</v>
      </c>
      <c r="G10" s="57">
        <f t="shared" si="4"/>
        <v>235.21981728</v>
      </c>
      <c r="H10" s="57">
        <f t="shared" si="5"/>
        <v>1293.7508640000001</v>
      </c>
      <c r="I10" s="57">
        <f t="shared" si="6"/>
        <v>102.62</v>
      </c>
      <c r="J10" s="57">
        <f t="shared" si="7"/>
        <v>102.62</v>
      </c>
      <c r="K10" s="61">
        <v>10262</v>
      </c>
      <c r="L10" s="62">
        <v>400</v>
      </c>
      <c r="M10" s="62">
        <v>400</v>
      </c>
      <c r="N10" s="61">
        <v>13294</v>
      </c>
      <c r="O10" s="57">
        <f t="shared" si="8"/>
        <v>132.94</v>
      </c>
      <c r="P10" s="57">
        <f t="shared" si="9"/>
        <v>132.94</v>
      </c>
      <c r="Q10" s="57">
        <f t="shared" si="10"/>
        <v>1676.0011680000002</v>
      </c>
      <c r="R10" s="57">
        <f t="shared" si="11"/>
        <v>304.71762336000006</v>
      </c>
      <c r="S10" s="57">
        <v>0</v>
      </c>
      <c r="T10" s="58">
        <f t="shared" si="12"/>
        <v>2331.0898187040002</v>
      </c>
      <c r="U10" s="57">
        <f t="shared" si="13"/>
        <v>17900</v>
      </c>
      <c r="V10" s="63">
        <f t="shared" si="14"/>
        <v>8950</v>
      </c>
      <c r="W10" s="64">
        <f t="shared" si="15"/>
        <v>26850</v>
      </c>
      <c r="X10" s="65">
        <v>400</v>
      </c>
      <c r="Y10" s="72" t="s">
        <v>209</v>
      </c>
      <c r="Z10" s="67">
        <v>4935</v>
      </c>
      <c r="AA10" s="68">
        <f t="shared" si="16"/>
        <v>49.35</v>
      </c>
      <c r="AB10" s="68">
        <f t="shared" si="17"/>
        <v>49.35</v>
      </c>
      <c r="AC10" s="68">
        <f t="shared" si="18"/>
        <v>622.16532000000007</v>
      </c>
      <c r="AD10" s="68">
        <f t="shared" si="19"/>
        <v>113.11730640000002</v>
      </c>
      <c r="AE10" s="68">
        <v>0</v>
      </c>
      <c r="AF10" s="69">
        <f t="shared" si="20"/>
        <v>865.3473939600002</v>
      </c>
      <c r="AG10" s="68">
        <f t="shared" si="21"/>
        <v>6650</v>
      </c>
      <c r="AH10" s="68">
        <f t="shared" si="22"/>
        <v>3350</v>
      </c>
      <c r="AI10" s="70">
        <f t="shared" si="23"/>
        <v>10000</v>
      </c>
      <c r="AJ10" s="67">
        <v>9494</v>
      </c>
      <c r="AK10" s="68">
        <f t="shared" si="24"/>
        <v>94.94</v>
      </c>
      <c r="AL10" s="68">
        <f t="shared" si="25"/>
        <v>94.94</v>
      </c>
      <c r="AM10" s="68">
        <f t="shared" si="26"/>
        <v>1196.9275680000001</v>
      </c>
      <c r="AN10" s="68">
        <f t="shared" si="27"/>
        <v>217.61615136</v>
      </c>
      <c r="AO10" s="68">
        <v>0</v>
      </c>
      <c r="AP10" s="69">
        <f t="shared" si="28"/>
        <v>1664.763557904</v>
      </c>
      <c r="AQ10" s="68">
        <f t="shared" si="29"/>
        <v>12800</v>
      </c>
      <c r="AR10" s="68">
        <f t="shared" si="30"/>
        <v>6400</v>
      </c>
      <c r="AS10" s="71">
        <f t="shared" si="31"/>
        <v>19200</v>
      </c>
    </row>
    <row r="11" spans="1:45">
      <c r="A11" s="60">
        <v>450</v>
      </c>
      <c r="B11" s="55">
        <f t="shared" si="0"/>
        <v>25426.221041556</v>
      </c>
      <c r="C11" s="56">
        <f t="shared" si="1"/>
        <v>8475.4070138520001</v>
      </c>
      <c r="D11" s="57">
        <f t="shared" si="2"/>
        <v>16950.814027704</v>
      </c>
      <c r="E11" s="58">
        <f t="shared" si="3"/>
        <v>2210.9757427439999</v>
      </c>
      <c r="F11" s="57">
        <v>0</v>
      </c>
      <c r="G11" s="57">
        <f t="shared" si="4"/>
        <v>289.01643696000002</v>
      </c>
      <c r="H11" s="57">
        <f t="shared" si="5"/>
        <v>1589.641848</v>
      </c>
      <c r="I11" s="57">
        <f t="shared" si="6"/>
        <v>126.09</v>
      </c>
      <c r="J11" s="57">
        <f t="shared" si="7"/>
        <v>126.09</v>
      </c>
      <c r="K11" s="61">
        <v>12609</v>
      </c>
      <c r="L11" s="62">
        <v>450</v>
      </c>
      <c r="M11" s="62">
        <v>450</v>
      </c>
      <c r="N11" s="61">
        <v>17099</v>
      </c>
      <c r="O11" s="57">
        <f t="shared" si="8"/>
        <v>170.99</v>
      </c>
      <c r="P11" s="57">
        <f t="shared" si="9"/>
        <v>170.99</v>
      </c>
      <c r="Q11" s="57">
        <f t="shared" si="10"/>
        <v>2155.7051280000005</v>
      </c>
      <c r="R11" s="57">
        <f t="shared" si="11"/>
        <v>391.93370256000009</v>
      </c>
      <c r="S11" s="57">
        <v>0</v>
      </c>
      <c r="T11" s="58">
        <f t="shared" si="12"/>
        <v>2998.2928245840008</v>
      </c>
      <c r="U11" s="57">
        <f t="shared" si="13"/>
        <v>23000</v>
      </c>
      <c r="V11" s="63">
        <f t="shared" si="14"/>
        <v>11500</v>
      </c>
      <c r="W11" s="64">
        <f t="shared" si="15"/>
        <v>34500</v>
      </c>
      <c r="X11" s="65">
        <v>450</v>
      </c>
      <c r="Y11" s="72" t="s">
        <v>210</v>
      </c>
      <c r="Z11" s="67">
        <v>5212</v>
      </c>
      <c r="AA11" s="68">
        <f t="shared" si="16"/>
        <v>52.120000000000005</v>
      </c>
      <c r="AB11" s="68">
        <f t="shared" si="17"/>
        <v>52.120000000000005</v>
      </c>
      <c r="AC11" s="68">
        <f t="shared" si="18"/>
        <v>657.087264</v>
      </c>
      <c r="AD11" s="68">
        <f t="shared" si="19"/>
        <v>119.46654527999999</v>
      </c>
      <c r="AE11" s="68">
        <v>0</v>
      </c>
      <c r="AF11" s="69">
        <f t="shared" si="20"/>
        <v>913.91907139199986</v>
      </c>
      <c r="AG11" s="68">
        <f t="shared" si="21"/>
        <v>7050</v>
      </c>
      <c r="AH11" s="68">
        <f t="shared" si="22"/>
        <v>3550</v>
      </c>
      <c r="AI11" s="70">
        <f t="shared" si="23"/>
        <v>10600</v>
      </c>
      <c r="AJ11" s="67">
        <v>9960</v>
      </c>
      <c r="AK11" s="68">
        <f t="shared" si="24"/>
        <v>99.600000000000009</v>
      </c>
      <c r="AL11" s="68">
        <f t="shared" si="25"/>
        <v>99.600000000000009</v>
      </c>
      <c r="AM11" s="68">
        <f t="shared" si="26"/>
        <v>1255.6771200000001</v>
      </c>
      <c r="AN11" s="68">
        <f t="shared" si="27"/>
        <v>228.29754240000003</v>
      </c>
      <c r="AO11" s="68">
        <v>0</v>
      </c>
      <c r="AP11" s="69">
        <f t="shared" si="28"/>
        <v>1746.47619936</v>
      </c>
      <c r="AQ11" s="68">
        <f t="shared" si="29"/>
        <v>13400</v>
      </c>
      <c r="AR11" s="68">
        <f t="shared" si="30"/>
        <v>6700</v>
      </c>
      <c r="AS11" s="71">
        <f t="shared" si="31"/>
        <v>20100</v>
      </c>
    </row>
    <row r="12" spans="1:45">
      <c r="A12" s="60">
        <v>500</v>
      </c>
      <c r="B12" s="55">
        <f t="shared" si="0"/>
        <v>32715.918009216002</v>
      </c>
      <c r="C12" s="56">
        <f t="shared" si="1"/>
        <v>10905.306003072001</v>
      </c>
      <c r="D12" s="57">
        <f t="shared" si="2"/>
        <v>21810.612006144001</v>
      </c>
      <c r="E12" s="58">
        <f t="shared" si="3"/>
        <v>2844.8624355840002</v>
      </c>
      <c r="F12" s="57">
        <v>0</v>
      </c>
      <c r="G12" s="57">
        <f t="shared" si="4"/>
        <v>371.87744255999996</v>
      </c>
      <c r="H12" s="57">
        <f t="shared" si="5"/>
        <v>2045.392128</v>
      </c>
      <c r="I12" s="57">
        <f t="shared" si="6"/>
        <v>162.24</v>
      </c>
      <c r="J12" s="57">
        <f t="shared" si="7"/>
        <v>162.24</v>
      </c>
      <c r="K12" s="61">
        <v>16224</v>
      </c>
      <c r="L12" s="62">
        <v>500</v>
      </c>
      <c r="M12" s="62">
        <v>500</v>
      </c>
      <c r="N12" s="61">
        <v>20668</v>
      </c>
      <c r="O12" s="57">
        <f t="shared" si="8"/>
        <v>206.68</v>
      </c>
      <c r="P12" s="57">
        <f t="shared" si="9"/>
        <v>206.68</v>
      </c>
      <c r="Q12" s="57">
        <f t="shared" si="10"/>
        <v>2605.6560960000002</v>
      </c>
      <c r="R12" s="57">
        <f t="shared" si="11"/>
        <v>473.74032191999999</v>
      </c>
      <c r="S12" s="57">
        <v>0</v>
      </c>
      <c r="T12" s="58">
        <f t="shared" si="12"/>
        <v>3624.1134626879998</v>
      </c>
      <c r="U12" s="57">
        <f t="shared" si="13"/>
        <v>27800</v>
      </c>
      <c r="V12" s="63">
        <f t="shared" si="14"/>
        <v>13900</v>
      </c>
      <c r="W12" s="64">
        <f t="shared" si="15"/>
        <v>41700</v>
      </c>
      <c r="X12" s="65">
        <v>500</v>
      </c>
      <c r="Y12" s="72" t="s">
        <v>211</v>
      </c>
      <c r="Z12" s="67">
        <v>6054</v>
      </c>
      <c r="AA12" s="68">
        <f t="shared" si="16"/>
        <v>60.54</v>
      </c>
      <c r="AB12" s="68">
        <f t="shared" si="17"/>
        <v>60.54</v>
      </c>
      <c r="AC12" s="68">
        <f t="shared" si="18"/>
        <v>763.23988799999995</v>
      </c>
      <c r="AD12" s="68">
        <f t="shared" si="19"/>
        <v>138.76639775999999</v>
      </c>
      <c r="AE12" s="68">
        <v>0</v>
      </c>
      <c r="AF12" s="69">
        <f t="shared" si="20"/>
        <v>1061.562942864</v>
      </c>
      <c r="AG12" s="68">
        <f t="shared" si="21"/>
        <v>8150</v>
      </c>
      <c r="AH12" s="68">
        <f t="shared" si="22"/>
        <v>4100</v>
      </c>
      <c r="AI12" s="70">
        <f t="shared" si="23"/>
        <v>12250</v>
      </c>
      <c r="AJ12" s="67">
        <v>11632</v>
      </c>
      <c r="AK12" s="68">
        <f t="shared" si="24"/>
        <v>116.32000000000001</v>
      </c>
      <c r="AL12" s="68">
        <f t="shared" si="25"/>
        <v>116.32000000000001</v>
      </c>
      <c r="AM12" s="68">
        <f t="shared" si="26"/>
        <v>1466.4695039999999</v>
      </c>
      <c r="AN12" s="68">
        <f t="shared" si="27"/>
        <v>266.62219008</v>
      </c>
      <c r="AO12" s="68">
        <v>0</v>
      </c>
      <c r="AP12" s="69">
        <f t="shared" si="28"/>
        <v>2039.6597541119997</v>
      </c>
      <c r="AQ12" s="68">
        <f t="shared" si="29"/>
        <v>15650</v>
      </c>
      <c r="AR12" s="68">
        <f t="shared" si="30"/>
        <v>7850</v>
      </c>
      <c r="AS12" s="71">
        <f t="shared" si="31"/>
        <v>23500</v>
      </c>
    </row>
    <row r="13" spans="1:45">
      <c r="A13" s="60">
        <v>560</v>
      </c>
      <c r="B13" s="55">
        <f t="shared" si="0"/>
        <v>39662.807650595998</v>
      </c>
      <c r="C13" s="56">
        <f t="shared" si="1"/>
        <v>13220.935883532</v>
      </c>
      <c r="D13" s="57">
        <f t="shared" si="2"/>
        <v>26441.871767064</v>
      </c>
      <c r="E13" s="58">
        <f t="shared" si="3"/>
        <v>3448.9397957040001</v>
      </c>
      <c r="F13" s="57">
        <v>0</v>
      </c>
      <c r="G13" s="57">
        <f t="shared" si="4"/>
        <v>450.84180335999997</v>
      </c>
      <c r="H13" s="57">
        <f t="shared" si="5"/>
        <v>2479.7101680000001</v>
      </c>
      <c r="I13" s="57">
        <f t="shared" si="6"/>
        <v>196.69</v>
      </c>
      <c r="J13" s="57">
        <f t="shared" si="7"/>
        <v>196.69</v>
      </c>
      <c r="K13" s="61">
        <v>19669</v>
      </c>
      <c r="L13" s="62">
        <v>560</v>
      </c>
      <c r="M13" s="62">
        <v>560</v>
      </c>
      <c r="N13" s="61">
        <v>25204</v>
      </c>
      <c r="O13" s="57">
        <f t="shared" si="8"/>
        <v>252.04</v>
      </c>
      <c r="P13" s="57">
        <f t="shared" si="9"/>
        <v>252.04</v>
      </c>
      <c r="Q13" s="57">
        <f t="shared" si="10"/>
        <v>3177.5186880000001</v>
      </c>
      <c r="R13" s="57">
        <f t="shared" si="11"/>
        <v>577.71197376000009</v>
      </c>
      <c r="S13" s="57">
        <v>0</v>
      </c>
      <c r="T13" s="58">
        <f t="shared" si="12"/>
        <v>4419.496599264</v>
      </c>
      <c r="U13" s="57">
        <f t="shared" si="13"/>
        <v>33900</v>
      </c>
      <c r="V13" s="63">
        <f t="shared" si="14"/>
        <v>16950</v>
      </c>
      <c r="W13" s="64">
        <f t="shared" si="15"/>
        <v>50850</v>
      </c>
      <c r="X13" s="65">
        <v>560</v>
      </c>
      <c r="Y13" s="72" t="s">
        <v>212</v>
      </c>
      <c r="Z13" s="67">
        <v>6237</v>
      </c>
      <c r="AA13" s="68">
        <f t="shared" si="16"/>
        <v>62.370000000000005</v>
      </c>
      <c r="AB13" s="68">
        <f t="shared" si="17"/>
        <v>62.370000000000005</v>
      </c>
      <c r="AC13" s="68">
        <f t="shared" si="18"/>
        <v>786.31106399999999</v>
      </c>
      <c r="AD13" s="68">
        <f t="shared" si="19"/>
        <v>142.96102127999998</v>
      </c>
      <c r="AE13" s="68">
        <v>0</v>
      </c>
      <c r="AF13" s="69">
        <f t="shared" si="20"/>
        <v>1093.6518127919999</v>
      </c>
      <c r="AG13" s="68">
        <f t="shared" si="21"/>
        <v>8400</v>
      </c>
      <c r="AH13" s="68">
        <f t="shared" si="22"/>
        <v>4200</v>
      </c>
      <c r="AI13" s="70">
        <f t="shared" si="23"/>
        <v>12600</v>
      </c>
      <c r="AJ13" s="67">
        <v>12609</v>
      </c>
      <c r="AK13" s="68">
        <f t="shared" si="24"/>
        <v>126.09</v>
      </c>
      <c r="AL13" s="68">
        <f t="shared" si="25"/>
        <v>126.09</v>
      </c>
      <c r="AM13" s="68">
        <f t="shared" si="26"/>
        <v>1589.641848</v>
      </c>
      <c r="AN13" s="68">
        <f t="shared" si="27"/>
        <v>289.01643696000002</v>
      </c>
      <c r="AO13" s="68">
        <v>0</v>
      </c>
      <c r="AP13" s="69">
        <f t="shared" si="28"/>
        <v>2210.9757427439999</v>
      </c>
      <c r="AQ13" s="68">
        <f t="shared" si="29"/>
        <v>17000</v>
      </c>
      <c r="AR13" s="68">
        <f t="shared" si="30"/>
        <v>8500</v>
      </c>
      <c r="AS13" s="71">
        <f t="shared" si="31"/>
        <v>25500</v>
      </c>
    </row>
    <row r="14" spans="1:45">
      <c r="A14" s="60">
        <v>630</v>
      </c>
      <c r="B14" s="55">
        <f t="shared" si="0"/>
        <v>52792.328247119993</v>
      </c>
      <c r="C14" s="56">
        <f t="shared" si="1"/>
        <v>17597.442749039998</v>
      </c>
      <c r="D14" s="57">
        <f t="shared" si="2"/>
        <v>35194.885498079995</v>
      </c>
      <c r="E14" s="58">
        <f t="shared" si="3"/>
        <v>4590.63723888</v>
      </c>
      <c r="F14" s="57">
        <v>0</v>
      </c>
      <c r="G14" s="57">
        <f t="shared" si="4"/>
        <v>600.08329920000006</v>
      </c>
      <c r="H14" s="57">
        <f t="shared" si="5"/>
        <v>3300.5649599999997</v>
      </c>
      <c r="I14" s="57">
        <f t="shared" si="6"/>
        <v>261.8</v>
      </c>
      <c r="J14" s="57">
        <f t="shared" si="7"/>
        <v>261.8</v>
      </c>
      <c r="K14" s="61">
        <v>26180</v>
      </c>
      <c r="L14" s="62">
        <v>630</v>
      </c>
      <c r="M14" s="62">
        <v>630</v>
      </c>
      <c r="N14" s="61">
        <v>32536</v>
      </c>
      <c r="O14" s="57">
        <f t="shared" si="8"/>
        <v>325.36</v>
      </c>
      <c r="P14" s="57">
        <f t="shared" si="9"/>
        <v>325.36</v>
      </c>
      <c r="Q14" s="57">
        <f t="shared" si="10"/>
        <v>4101.878592</v>
      </c>
      <c r="R14" s="57">
        <f t="shared" si="11"/>
        <v>745.77197184000011</v>
      </c>
      <c r="S14" s="57">
        <v>0</v>
      </c>
      <c r="T14" s="58">
        <f t="shared" si="12"/>
        <v>5705.1555845759995</v>
      </c>
      <c r="U14" s="57">
        <f t="shared" si="13"/>
        <v>43750</v>
      </c>
      <c r="V14" s="63">
        <f t="shared" si="14"/>
        <v>21900</v>
      </c>
      <c r="W14" s="64">
        <f t="shared" si="15"/>
        <v>65650</v>
      </c>
      <c r="X14" s="65">
        <v>630</v>
      </c>
      <c r="Y14" s="72" t="s">
        <v>213</v>
      </c>
      <c r="Z14" s="67">
        <v>7456</v>
      </c>
      <c r="AA14" s="68">
        <f t="shared" si="16"/>
        <v>74.56</v>
      </c>
      <c r="AB14" s="68">
        <f t="shared" si="17"/>
        <v>74.56</v>
      </c>
      <c r="AC14" s="68">
        <f t="shared" si="18"/>
        <v>939.99283200000013</v>
      </c>
      <c r="AD14" s="68">
        <f t="shared" si="19"/>
        <v>170.90225664000002</v>
      </c>
      <c r="AE14" s="68">
        <v>0</v>
      </c>
      <c r="AF14" s="69">
        <f t="shared" si="20"/>
        <v>1307.4022632959998</v>
      </c>
      <c r="AG14" s="68">
        <f t="shared" si="21"/>
        <v>10050</v>
      </c>
      <c r="AH14" s="68">
        <f t="shared" si="22"/>
        <v>5050</v>
      </c>
      <c r="AI14" s="70">
        <f t="shared" si="23"/>
        <v>15100</v>
      </c>
      <c r="AJ14" s="67">
        <v>15324</v>
      </c>
      <c r="AK14" s="68">
        <f t="shared" si="24"/>
        <v>153.24</v>
      </c>
      <c r="AL14" s="68">
        <f t="shared" si="25"/>
        <v>153.24</v>
      </c>
      <c r="AM14" s="68">
        <f t="shared" si="26"/>
        <v>1931.927328</v>
      </c>
      <c r="AN14" s="68">
        <f t="shared" si="27"/>
        <v>351.24814656000001</v>
      </c>
      <c r="AO14" s="68">
        <v>0</v>
      </c>
      <c r="AP14" s="69">
        <f t="shared" si="28"/>
        <v>2687.0483211840005</v>
      </c>
      <c r="AQ14" s="68">
        <f t="shared" si="29"/>
        <v>20650</v>
      </c>
      <c r="AR14" s="68">
        <f t="shared" si="30"/>
        <v>10350</v>
      </c>
      <c r="AS14" s="71">
        <f t="shared" si="31"/>
        <v>31000</v>
      </c>
    </row>
    <row r="15" spans="1:45">
      <c r="A15" s="60">
        <v>710</v>
      </c>
      <c r="B15" s="55">
        <f t="shared" si="0"/>
        <v>65403.604826855997</v>
      </c>
      <c r="C15" s="56">
        <f t="shared" si="1"/>
        <v>21801.201608952</v>
      </c>
      <c r="D15" s="57">
        <f t="shared" si="2"/>
        <v>43602.403217904</v>
      </c>
      <c r="E15" s="58">
        <f t="shared" si="3"/>
        <v>5687.2699849439996</v>
      </c>
      <c r="F15" s="57">
        <v>0</v>
      </c>
      <c r="G15" s="57">
        <f t="shared" si="4"/>
        <v>743.43398495999998</v>
      </c>
      <c r="H15" s="57">
        <f t="shared" si="5"/>
        <v>4089.0192480000001</v>
      </c>
      <c r="I15" s="57">
        <f t="shared" si="6"/>
        <v>324.34000000000003</v>
      </c>
      <c r="J15" s="57">
        <f t="shared" si="7"/>
        <v>324.34000000000003</v>
      </c>
      <c r="K15" s="61">
        <v>32434</v>
      </c>
      <c r="L15" s="62">
        <v>710</v>
      </c>
      <c r="M15" s="62">
        <v>710</v>
      </c>
      <c r="N15" s="61">
        <v>43075</v>
      </c>
      <c r="O15" s="57">
        <f t="shared" si="8"/>
        <v>430.75</v>
      </c>
      <c r="P15" s="57">
        <f t="shared" si="9"/>
        <v>430.75</v>
      </c>
      <c r="Q15" s="57">
        <f t="shared" si="10"/>
        <v>5430.5514000000003</v>
      </c>
      <c r="R15" s="57">
        <f t="shared" si="11"/>
        <v>987.34102799999994</v>
      </c>
      <c r="S15" s="57">
        <v>0</v>
      </c>
      <c r="T15" s="58">
        <f t="shared" si="12"/>
        <v>7553.1588641999997</v>
      </c>
      <c r="U15" s="57">
        <f t="shared" si="13"/>
        <v>57950</v>
      </c>
      <c r="V15" s="63">
        <f t="shared" si="14"/>
        <v>29000</v>
      </c>
      <c r="W15" s="64">
        <f t="shared" si="15"/>
        <v>86950</v>
      </c>
      <c r="X15" s="65">
        <v>710</v>
      </c>
      <c r="Y15" s="72" t="s">
        <v>214</v>
      </c>
      <c r="Z15" s="67">
        <v>8132</v>
      </c>
      <c r="AA15" s="68">
        <f t="shared" si="16"/>
        <v>81.320000000000007</v>
      </c>
      <c r="AB15" s="68">
        <f t="shared" si="17"/>
        <v>81.320000000000007</v>
      </c>
      <c r="AC15" s="68">
        <f t="shared" si="18"/>
        <v>1025.217504</v>
      </c>
      <c r="AD15" s="68">
        <f t="shared" si="19"/>
        <v>186.39715007999999</v>
      </c>
      <c r="AE15" s="68">
        <v>0</v>
      </c>
      <c r="AF15" s="69">
        <f t="shared" si="20"/>
        <v>1425.9381981119998</v>
      </c>
      <c r="AG15" s="68">
        <f t="shared" si="21"/>
        <v>10950</v>
      </c>
      <c r="AH15" s="68">
        <f t="shared" si="22"/>
        <v>5500</v>
      </c>
      <c r="AI15" s="70">
        <f t="shared" si="23"/>
        <v>16450</v>
      </c>
      <c r="AJ15" s="67">
        <v>16594</v>
      </c>
      <c r="AK15" s="68">
        <f t="shared" si="24"/>
        <v>165.94</v>
      </c>
      <c r="AL15" s="68">
        <f t="shared" si="25"/>
        <v>165.94</v>
      </c>
      <c r="AM15" s="68">
        <f t="shared" si="26"/>
        <v>2092.0387679999999</v>
      </c>
      <c r="AN15" s="68">
        <f t="shared" si="27"/>
        <v>380.35837535999991</v>
      </c>
      <c r="AO15" s="68">
        <v>0</v>
      </c>
      <c r="AP15" s="69">
        <f t="shared" si="28"/>
        <v>2909.7415715039992</v>
      </c>
      <c r="AQ15" s="68">
        <f t="shared" si="29"/>
        <v>22350</v>
      </c>
      <c r="AR15" s="68">
        <f t="shared" si="30"/>
        <v>11200</v>
      </c>
      <c r="AS15" s="71">
        <f t="shared" si="31"/>
        <v>33550</v>
      </c>
    </row>
    <row r="16" spans="1:45">
      <c r="A16" s="60">
        <v>800</v>
      </c>
      <c r="B16" s="55">
        <f t="shared" si="0"/>
        <v>110847.75720948001</v>
      </c>
      <c r="C16" s="56">
        <f t="shared" si="1"/>
        <v>36949.252403160004</v>
      </c>
      <c r="D16" s="57">
        <f t="shared" si="2"/>
        <v>73898.504806320008</v>
      </c>
      <c r="E16" s="58">
        <f t="shared" si="3"/>
        <v>9638.9354095199997</v>
      </c>
      <c r="F16" s="57">
        <v>0</v>
      </c>
      <c r="G16" s="57">
        <f t="shared" si="4"/>
        <v>1259.9915567999999</v>
      </c>
      <c r="H16" s="57">
        <f t="shared" si="5"/>
        <v>6930.1778400000003</v>
      </c>
      <c r="I16" s="57">
        <f t="shared" si="6"/>
        <v>549.70000000000005</v>
      </c>
      <c r="J16" s="57">
        <f t="shared" si="7"/>
        <v>549.70000000000005</v>
      </c>
      <c r="K16" s="61">
        <v>54970</v>
      </c>
      <c r="L16" s="62">
        <v>800</v>
      </c>
      <c r="M16" s="62">
        <v>800</v>
      </c>
      <c r="N16" s="61">
        <v>66165</v>
      </c>
      <c r="O16" s="57">
        <f t="shared" si="8"/>
        <v>661.65</v>
      </c>
      <c r="P16" s="57">
        <f t="shared" si="9"/>
        <v>661.65</v>
      </c>
      <c r="Q16" s="57">
        <f t="shared" si="10"/>
        <v>8341.5538799999995</v>
      </c>
      <c r="R16" s="57">
        <f t="shared" si="11"/>
        <v>1516.5970775999997</v>
      </c>
      <c r="S16" s="57">
        <v>0</v>
      </c>
      <c r="T16" s="58">
        <f t="shared" si="12"/>
        <v>11601.967643639997</v>
      </c>
      <c r="U16" s="57">
        <f t="shared" si="13"/>
        <v>88950</v>
      </c>
      <c r="V16" s="63">
        <f t="shared" si="14"/>
        <v>44500</v>
      </c>
      <c r="W16" s="64">
        <f t="shared" si="15"/>
        <v>133450</v>
      </c>
      <c r="X16" s="65">
        <v>800</v>
      </c>
      <c r="Y16" s="72">
        <v>0</v>
      </c>
      <c r="Z16" s="67"/>
      <c r="AA16" s="68">
        <f t="shared" si="16"/>
        <v>0</v>
      </c>
      <c r="AB16" s="68">
        <f t="shared" si="17"/>
        <v>0</v>
      </c>
      <c r="AC16" s="68">
        <f t="shared" si="18"/>
        <v>0</v>
      </c>
      <c r="AD16" s="68">
        <f t="shared" si="19"/>
        <v>0</v>
      </c>
      <c r="AE16" s="68">
        <v>0</v>
      </c>
      <c r="AF16" s="69">
        <f t="shared" si="20"/>
        <v>0</v>
      </c>
      <c r="AG16" s="68">
        <f t="shared" si="21"/>
        <v>0</v>
      </c>
      <c r="AH16" s="68">
        <f t="shared" si="22"/>
        <v>0</v>
      </c>
      <c r="AI16" s="70">
        <f t="shared" si="23"/>
        <v>0</v>
      </c>
      <c r="AJ16" s="67"/>
      <c r="AK16" s="68">
        <f t="shared" si="24"/>
        <v>0</v>
      </c>
      <c r="AL16" s="68">
        <f t="shared" si="25"/>
        <v>0</v>
      </c>
      <c r="AM16" s="68">
        <f t="shared" si="26"/>
        <v>0</v>
      </c>
      <c r="AN16" s="68">
        <f t="shared" si="27"/>
        <v>0</v>
      </c>
      <c r="AO16" s="68">
        <v>0</v>
      </c>
      <c r="AP16" s="69">
        <f t="shared" si="28"/>
        <v>0</v>
      </c>
      <c r="AQ16" s="68">
        <f t="shared" si="29"/>
        <v>0</v>
      </c>
      <c r="AR16" s="68">
        <f t="shared" si="30"/>
        <v>0</v>
      </c>
      <c r="AS16" s="71">
        <f t="shared" si="31"/>
        <v>0</v>
      </c>
    </row>
    <row r="17" spans="1:45">
      <c r="A17" s="60">
        <v>900</v>
      </c>
      <c r="B17" s="55">
        <f t="shared" si="0"/>
        <v>144092.00180390402</v>
      </c>
      <c r="C17" s="56">
        <f t="shared" si="1"/>
        <v>48030.667267968005</v>
      </c>
      <c r="D17" s="57">
        <f t="shared" si="2"/>
        <v>96061.33453593601</v>
      </c>
      <c r="E17" s="58">
        <f t="shared" si="3"/>
        <v>12529.739287295999</v>
      </c>
      <c r="F17" s="57">
        <v>0</v>
      </c>
      <c r="G17" s="57">
        <f t="shared" si="4"/>
        <v>1637.8744166399999</v>
      </c>
      <c r="H17" s="57">
        <f t="shared" si="5"/>
        <v>9008.6008320000001</v>
      </c>
      <c r="I17" s="57">
        <f t="shared" si="6"/>
        <v>714.56000000000006</v>
      </c>
      <c r="J17" s="57">
        <f t="shared" si="7"/>
        <v>714.56000000000006</v>
      </c>
      <c r="K17" s="61">
        <v>71456</v>
      </c>
      <c r="L17" s="62">
        <v>900</v>
      </c>
      <c r="M17" s="62">
        <v>900</v>
      </c>
      <c r="N17" s="61">
        <v>84809</v>
      </c>
      <c r="O17" s="57">
        <f t="shared" si="8"/>
        <v>848.09</v>
      </c>
      <c r="P17" s="57">
        <f t="shared" si="9"/>
        <v>848.09</v>
      </c>
      <c r="Q17" s="57">
        <f t="shared" si="10"/>
        <v>10692.040247999999</v>
      </c>
      <c r="R17" s="57">
        <f t="shared" si="11"/>
        <v>1943.9444049599999</v>
      </c>
      <c r="S17" s="57">
        <v>0</v>
      </c>
      <c r="T17" s="58">
        <f t="shared" si="12"/>
        <v>14871.174697943999</v>
      </c>
      <c r="U17" s="57">
        <f t="shared" si="13"/>
        <v>114050</v>
      </c>
      <c r="V17" s="63">
        <f t="shared" si="14"/>
        <v>57050</v>
      </c>
      <c r="W17" s="64">
        <f t="shared" si="15"/>
        <v>171100</v>
      </c>
      <c r="X17" s="65">
        <v>900</v>
      </c>
      <c r="Y17" s="72">
        <v>0</v>
      </c>
      <c r="Z17" s="67"/>
      <c r="AA17" s="68">
        <f t="shared" si="16"/>
        <v>0</v>
      </c>
      <c r="AB17" s="68">
        <f t="shared" si="17"/>
        <v>0</v>
      </c>
      <c r="AC17" s="68">
        <f t="shared" si="18"/>
        <v>0</v>
      </c>
      <c r="AD17" s="68">
        <f t="shared" si="19"/>
        <v>0</v>
      </c>
      <c r="AE17" s="68">
        <v>0</v>
      </c>
      <c r="AF17" s="69">
        <f t="shared" si="20"/>
        <v>0</v>
      </c>
      <c r="AG17" s="68">
        <f t="shared" si="21"/>
        <v>0</v>
      </c>
      <c r="AH17" s="68">
        <f t="shared" si="22"/>
        <v>0</v>
      </c>
      <c r="AI17" s="70">
        <f t="shared" si="23"/>
        <v>0</v>
      </c>
      <c r="AJ17" s="67"/>
      <c r="AK17" s="68">
        <f t="shared" si="24"/>
        <v>0</v>
      </c>
      <c r="AL17" s="68">
        <f t="shared" si="25"/>
        <v>0</v>
      </c>
      <c r="AM17" s="68">
        <f t="shared" si="26"/>
        <v>0</v>
      </c>
      <c r="AN17" s="68">
        <f t="shared" si="27"/>
        <v>0</v>
      </c>
      <c r="AO17" s="68">
        <v>0</v>
      </c>
      <c r="AP17" s="69">
        <f t="shared" si="28"/>
        <v>0</v>
      </c>
      <c r="AQ17" s="68">
        <f t="shared" si="29"/>
        <v>0</v>
      </c>
      <c r="AR17" s="68">
        <f t="shared" si="30"/>
        <v>0</v>
      </c>
      <c r="AS17" s="71">
        <f t="shared" si="31"/>
        <v>0</v>
      </c>
    </row>
    <row r="18" spans="1:45">
      <c r="A18" s="60">
        <v>1000</v>
      </c>
      <c r="B18" s="55">
        <f t="shared" si="0"/>
        <v>176749.44091628399</v>
      </c>
      <c r="C18" s="56">
        <f t="shared" si="1"/>
        <v>58916.480305427998</v>
      </c>
      <c r="D18" s="57">
        <f t="shared" si="2"/>
        <v>117832.960610856</v>
      </c>
      <c r="E18" s="58">
        <f t="shared" si="3"/>
        <v>15369.516601416</v>
      </c>
      <c r="F18" s="57">
        <v>0</v>
      </c>
      <c r="G18" s="57">
        <f t="shared" si="4"/>
        <v>2009.0871374400001</v>
      </c>
      <c r="H18" s="57">
        <f t="shared" si="5"/>
        <v>11050.336872</v>
      </c>
      <c r="I18" s="57">
        <f t="shared" si="6"/>
        <v>876.51</v>
      </c>
      <c r="J18" s="57">
        <f t="shared" si="7"/>
        <v>876.51</v>
      </c>
      <c r="K18" s="61">
        <v>87651</v>
      </c>
      <c r="L18" s="62">
        <v>1000</v>
      </c>
      <c r="M18" s="62">
        <v>1000</v>
      </c>
      <c r="N18" s="61">
        <v>98935</v>
      </c>
      <c r="O18" s="57">
        <f t="shared" si="8"/>
        <v>989.35</v>
      </c>
      <c r="P18" s="57">
        <f t="shared" si="9"/>
        <v>989.35</v>
      </c>
      <c r="Q18" s="57">
        <f t="shared" si="10"/>
        <v>12472.933320000002</v>
      </c>
      <c r="R18" s="57">
        <f t="shared" si="11"/>
        <v>2267.7326664000002</v>
      </c>
      <c r="S18" s="57">
        <v>0</v>
      </c>
      <c r="T18" s="58">
        <f t="shared" si="12"/>
        <v>17348.154897960001</v>
      </c>
      <c r="U18" s="57">
        <f t="shared" si="13"/>
        <v>133050</v>
      </c>
      <c r="V18" s="63">
        <f t="shared" si="14"/>
        <v>66550</v>
      </c>
      <c r="W18" s="64">
        <f t="shared" si="15"/>
        <v>199600</v>
      </c>
      <c r="X18" s="65">
        <v>1000</v>
      </c>
      <c r="Y18" s="72">
        <v>0</v>
      </c>
      <c r="Z18" s="67"/>
      <c r="AA18" s="68">
        <f t="shared" si="16"/>
        <v>0</v>
      </c>
      <c r="AB18" s="68">
        <f t="shared" si="17"/>
        <v>0</v>
      </c>
      <c r="AC18" s="68">
        <f t="shared" si="18"/>
        <v>0</v>
      </c>
      <c r="AD18" s="68">
        <f t="shared" si="19"/>
        <v>0</v>
      </c>
      <c r="AE18" s="68">
        <v>0</v>
      </c>
      <c r="AF18" s="69">
        <f t="shared" si="20"/>
        <v>0</v>
      </c>
      <c r="AG18" s="68">
        <f t="shared" si="21"/>
        <v>0</v>
      </c>
      <c r="AH18" s="68">
        <f t="shared" si="22"/>
        <v>0</v>
      </c>
      <c r="AI18" s="70">
        <f t="shared" si="23"/>
        <v>0</v>
      </c>
      <c r="AJ18" s="67"/>
      <c r="AK18" s="68">
        <f t="shared" si="24"/>
        <v>0</v>
      </c>
      <c r="AL18" s="68">
        <f t="shared" si="25"/>
        <v>0</v>
      </c>
      <c r="AM18" s="68">
        <f t="shared" si="26"/>
        <v>0</v>
      </c>
      <c r="AN18" s="68">
        <f t="shared" si="27"/>
        <v>0</v>
      </c>
      <c r="AO18" s="68">
        <v>0</v>
      </c>
      <c r="AP18" s="69">
        <f t="shared" si="28"/>
        <v>0</v>
      </c>
      <c r="AQ18" s="68">
        <f t="shared" si="29"/>
        <v>0</v>
      </c>
      <c r="AR18" s="68">
        <f t="shared" si="30"/>
        <v>0</v>
      </c>
      <c r="AS18" s="71">
        <f t="shared" si="31"/>
        <v>0</v>
      </c>
    </row>
    <row r="19" spans="1:45">
      <c r="A19" s="60">
        <v>0</v>
      </c>
      <c r="B19" s="55">
        <f t="shared" si="0"/>
        <v>0</v>
      </c>
      <c r="C19" s="56">
        <f t="shared" si="1"/>
        <v>0</v>
      </c>
      <c r="D19" s="57">
        <f t="shared" si="2"/>
        <v>0</v>
      </c>
      <c r="E19" s="58">
        <f t="shared" si="3"/>
        <v>0</v>
      </c>
      <c r="F19" s="57">
        <v>0</v>
      </c>
      <c r="G19" s="57">
        <f t="shared" si="4"/>
        <v>0</v>
      </c>
      <c r="H19" s="57">
        <f t="shared" si="5"/>
        <v>0</v>
      </c>
      <c r="I19" s="57">
        <f t="shared" si="6"/>
        <v>0</v>
      </c>
      <c r="J19" s="57">
        <f t="shared" si="7"/>
        <v>0</v>
      </c>
      <c r="K19" s="61"/>
      <c r="L19" s="62"/>
      <c r="M19" s="62">
        <v>1120</v>
      </c>
      <c r="N19" s="61">
        <v>158475</v>
      </c>
      <c r="O19" s="57">
        <f t="shared" si="8"/>
        <v>1584.75</v>
      </c>
      <c r="P19" s="57">
        <f t="shared" si="9"/>
        <v>1584.75</v>
      </c>
      <c r="Q19" s="57">
        <f t="shared" si="10"/>
        <v>19979.260200000001</v>
      </c>
      <c r="R19" s="57">
        <f t="shared" si="11"/>
        <v>3632.4752039999998</v>
      </c>
      <c r="S19" s="57">
        <v>0</v>
      </c>
      <c r="T19" s="58">
        <f t="shared" si="12"/>
        <v>27788.435310599994</v>
      </c>
      <c r="U19" s="57">
        <f t="shared" si="13"/>
        <v>213050</v>
      </c>
      <c r="V19" s="63">
        <f t="shared" si="14"/>
        <v>106550</v>
      </c>
      <c r="W19" s="64">
        <f t="shared" si="15"/>
        <v>319600</v>
      </c>
      <c r="X19" s="65">
        <v>1120</v>
      </c>
      <c r="Y19" s="72">
        <v>0</v>
      </c>
      <c r="Z19" s="67"/>
      <c r="AA19" s="68">
        <f t="shared" si="16"/>
        <v>0</v>
      </c>
      <c r="AB19" s="68">
        <f t="shared" si="17"/>
        <v>0</v>
      </c>
      <c r="AC19" s="68">
        <f t="shared" si="18"/>
        <v>0</v>
      </c>
      <c r="AD19" s="68">
        <f t="shared" si="19"/>
        <v>0</v>
      </c>
      <c r="AE19" s="68">
        <v>0</v>
      </c>
      <c r="AF19" s="69">
        <f t="shared" si="20"/>
        <v>0</v>
      </c>
      <c r="AG19" s="68">
        <f t="shared" si="21"/>
        <v>0</v>
      </c>
      <c r="AH19" s="68">
        <f t="shared" si="22"/>
        <v>0</v>
      </c>
      <c r="AI19" s="70">
        <f t="shared" si="23"/>
        <v>0</v>
      </c>
      <c r="AJ19" s="67"/>
      <c r="AK19" s="68">
        <f t="shared" si="24"/>
        <v>0</v>
      </c>
      <c r="AL19" s="68">
        <f t="shared" si="25"/>
        <v>0</v>
      </c>
      <c r="AM19" s="68">
        <f t="shared" si="26"/>
        <v>0</v>
      </c>
      <c r="AN19" s="68">
        <f t="shared" si="27"/>
        <v>0</v>
      </c>
      <c r="AO19" s="68">
        <v>0</v>
      </c>
      <c r="AP19" s="69">
        <f t="shared" si="28"/>
        <v>0</v>
      </c>
      <c r="AQ19" s="68">
        <f t="shared" si="29"/>
        <v>0</v>
      </c>
      <c r="AR19" s="68">
        <f t="shared" si="30"/>
        <v>0</v>
      </c>
      <c r="AS19" s="71">
        <f t="shared" si="31"/>
        <v>0</v>
      </c>
    </row>
    <row r="20" spans="1:45">
      <c r="A20" s="60">
        <v>0</v>
      </c>
      <c r="B20" s="55">
        <f t="shared" si="0"/>
        <v>0</v>
      </c>
      <c r="C20" s="56">
        <f t="shared" si="1"/>
        <v>0</v>
      </c>
      <c r="D20" s="57">
        <f t="shared" si="2"/>
        <v>0</v>
      </c>
      <c r="E20" s="58">
        <f t="shared" si="3"/>
        <v>0</v>
      </c>
      <c r="F20" s="57">
        <v>0</v>
      </c>
      <c r="G20" s="57">
        <f t="shared" si="4"/>
        <v>0</v>
      </c>
      <c r="H20" s="57">
        <f t="shared" si="5"/>
        <v>0</v>
      </c>
      <c r="I20" s="57">
        <f t="shared" si="6"/>
        <v>0</v>
      </c>
      <c r="J20" s="57">
        <f t="shared" si="7"/>
        <v>0</v>
      </c>
      <c r="K20" s="61"/>
      <c r="L20" s="62"/>
      <c r="M20" s="62">
        <v>1200</v>
      </c>
      <c r="N20" s="61">
        <v>218065</v>
      </c>
      <c r="O20" s="57">
        <f t="shared" si="8"/>
        <v>2180.65</v>
      </c>
      <c r="P20" s="57">
        <f t="shared" si="9"/>
        <v>2180.65</v>
      </c>
      <c r="Q20" s="57">
        <f t="shared" si="10"/>
        <v>27491.89068</v>
      </c>
      <c r="R20" s="57">
        <f t="shared" si="11"/>
        <v>4998.3638136</v>
      </c>
      <c r="S20" s="57">
        <v>0</v>
      </c>
      <c r="T20" s="58">
        <f t="shared" si="12"/>
        <v>38237.483174039997</v>
      </c>
      <c r="U20" s="57">
        <f t="shared" si="13"/>
        <v>293200</v>
      </c>
      <c r="V20" s="63">
        <f t="shared" si="14"/>
        <v>146600</v>
      </c>
      <c r="W20" s="64">
        <f t="shared" si="15"/>
        <v>439800</v>
      </c>
      <c r="X20" s="65">
        <v>1200</v>
      </c>
      <c r="Y20" s="72">
        <v>0</v>
      </c>
      <c r="Z20" s="67"/>
      <c r="AA20" s="68">
        <f t="shared" si="16"/>
        <v>0</v>
      </c>
      <c r="AB20" s="68">
        <f t="shared" si="17"/>
        <v>0</v>
      </c>
      <c r="AC20" s="68">
        <f t="shared" si="18"/>
        <v>0</v>
      </c>
      <c r="AD20" s="68">
        <f t="shared" si="19"/>
        <v>0</v>
      </c>
      <c r="AE20" s="68">
        <v>0</v>
      </c>
      <c r="AF20" s="69">
        <f t="shared" si="20"/>
        <v>0</v>
      </c>
      <c r="AG20" s="68">
        <f t="shared" si="21"/>
        <v>0</v>
      </c>
      <c r="AH20" s="68">
        <f t="shared" si="22"/>
        <v>0</v>
      </c>
      <c r="AI20" s="70">
        <f t="shared" si="23"/>
        <v>0</v>
      </c>
      <c r="AJ20" s="67"/>
      <c r="AK20" s="68">
        <f t="shared" si="24"/>
        <v>0</v>
      </c>
      <c r="AL20" s="68">
        <f t="shared" si="25"/>
        <v>0</v>
      </c>
      <c r="AM20" s="68">
        <f t="shared" si="26"/>
        <v>0</v>
      </c>
      <c r="AN20" s="68">
        <f t="shared" si="27"/>
        <v>0</v>
      </c>
      <c r="AO20" s="68">
        <v>0</v>
      </c>
      <c r="AP20" s="69">
        <f t="shared" si="28"/>
        <v>0</v>
      </c>
      <c r="AQ20" s="68">
        <f t="shared" si="29"/>
        <v>0</v>
      </c>
      <c r="AR20" s="68">
        <f t="shared" si="30"/>
        <v>0</v>
      </c>
      <c r="AS20" s="71">
        <f t="shared" si="31"/>
        <v>0</v>
      </c>
    </row>
    <row r="21" spans="1:45" ht="15.75" thickBot="1">
      <c r="A21" s="73">
        <v>0</v>
      </c>
      <c r="B21" s="74">
        <f t="shared" si="0"/>
        <v>0</v>
      </c>
      <c r="C21" s="75">
        <f t="shared" si="1"/>
        <v>0</v>
      </c>
      <c r="D21" s="76">
        <f t="shared" si="2"/>
        <v>0</v>
      </c>
      <c r="E21" s="77">
        <f t="shared" si="3"/>
        <v>0</v>
      </c>
      <c r="F21" s="76">
        <v>0</v>
      </c>
      <c r="G21" s="76">
        <f t="shared" si="4"/>
        <v>0</v>
      </c>
      <c r="H21" s="76">
        <f t="shared" si="5"/>
        <v>0</v>
      </c>
      <c r="I21" s="76">
        <f t="shared" si="6"/>
        <v>0</v>
      </c>
      <c r="J21" s="76">
        <f t="shared" si="7"/>
        <v>0</v>
      </c>
      <c r="K21" s="78"/>
      <c r="L21" s="79"/>
      <c r="M21" s="79">
        <v>1450</v>
      </c>
      <c r="N21" s="78">
        <v>255315</v>
      </c>
      <c r="O21" s="76">
        <f t="shared" si="8"/>
        <v>2553.15</v>
      </c>
      <c r="P21" s="76">
        <f t="shared" si="9"/>
        <v>2553.15</v>
      </c>
      <c r="Q21" s="76">
        <f t="shared" si="10"/>
        <v>32188.072679999997</v>
      </c>
      <c r="R21" s="76">
        <f t="shared" si="11"/>
        <v>5852.1874535999996</v>
      </c>
      <c r="S21" s="76">
        <v>0</v>
      </c>
      <c r="T21" s="77">
        <f t="shared" si="12"/>
        <v>44769.234020039999</v>
      </c>
      <c r="U21" s="76">
        <f t="shared" si="13"/>
        <v>343250</v>
      </c>
      <c r="V21" s="80">
        <f t="shared" si="14"/>
        <v>171650</v>
      </c>
      <c r="W21" s="81">
        <f t="shared" si="15"/>
        <v>514900</v>
      </c>
      <c r="X21" s="82">
        <v>1450</v>
      </c>
      <c r="Y21" s="83">
        <v>0</v>
      </c>
      <c r="Z21" s="84"/>
      <c r="AA21" s="85">
        <f t="shared" si="16"/>
        <v>0</v>
      </c>
      <c r="AB21" s="85">
        <f t="shared" si="17"/>
        <v>0</v>
      </c>
      <c r="AC21" s="85">
        <f t="shared" si="18"/>
        <v>0</v>
      </c>
      <c r="AD21" s="85">
        <f t="shared" si="19"/>
        <v>0</v>
      </c>
      <c r="AE21" s="85">
        <v>0</v>
      </c>
      <c r="AF21" s="86">
        <f t="shared" si="20"/>
        <v>0</v>
      </c>
      <c r="AG21" s="85">
        <f t="shared" si="21"/>
        <v>0</v>
      </c>
      <c r="AH21" s="85">
        <f t="shared" si="22"/>
        <v>0</v>
      </c>
      <c r="AI21" s="87">
        <f t="shared" si="23"/>
        <v>0</v>
      </c>
      <c r="AJ21" s="84"/>
      <c r="AK21" s="85">
        <f t="shared" si="24"/>
        <v>0</v>
      </c>
      <c r="AL21" s="85">
        <f t="shared" si="25"/>
        <v>0</v>
      </c>
      <c r="AM21" s="85">
        <f t="shared" si="26"/>
        <v>0</v>
      </c>
      <c r="AN21" s="85">
        <f t="shared" si="27"/>
        <v>0</v>
      </c>
      <c r="AO21" s="85">
        <v>0</v>
      </c>
      <c r="AP21" s="86">
        <f t="shared" si="28"/>
        <v>0</v>
      </c>
      <c r="AQ21" s="85">
        <f t="shared" si="29"/>
        <v>0</v>
      </c>
      <c r="AR21" s="85">
        <f t="shared" si="30"/>
        <v>0</v>
      </c>
      <c r="AS21" s="88">
        <f t="shared" si="31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e275ac-1696-4297-b7c8-3d029f1cdf67">
      <Terms xmlns="http://schemas.microsoft.com/office/infopath/2007/PartnerControls"/>
    </lcf76f155ced4ddcb4097134ff3c332f>
    <TaxCatchAll xmlns="3e3dc600-5104-43cb-9ca9-9e338fec4de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94524F4A13744F9C982579EA310C2C" ma:contentTypeVersion="11" ma:contentTypeDescription="Create a new document." ma:contentTypeScope="" ma:versionID="d3188578a68f02fe53080c8cb7be878a">
  <xsd:schema xmlns:xsd="http://www.w3.org/2001/XMLSchema" xmlns:xs="http://www.w3.org/2001/XMLSchema" xmlns:p="http://schemas.microsoft.com/office/2006/metadata/properties" xmlns:ns2="77e275ac-1696-4297-b7c8-3d029f1cdf67" xmlns:ns3="3e3dc600-5104-43cb-9ca9-9e338fec4dee" targetNamespace="http://schemas.microsoft.com/office/2006/metadata/properties" ma:root="true" ma:fieldsID="1d8acab74418ed3687d5659ea06e29b2" ns2:_="" ns3:_="">
    <xsd:import namespace="77e275ac-1696-4297-b7c8-3d029f1cdf67"/>
    <xsd:import namespace="3e3dc600-5104-43cb-9ca9-9e338fec4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275ac-1696-4297-b7c8-3d029f1cdf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387c8f6-a858-41ab-b029-2b6e3b1de7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dc600-5104-43cb-9ca9-9e338fec4de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8d9e4db-9500-4d31-b2fe-70b2dbd11e98}" ma:internalName="TaxCatchAll" ma:showField="CatchAllData" ma:web="3e3dc600-5104-43cb-9ca9-9e338fec4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68CE5E-35BE-4E69-9694-26760C85D6EC}"/>
</file>

<file path=customXml/itemProps2.xml><?xml version="1.0" encoding="utf-8"?>
<ds:datastoreItem xmlns:ds="http://schemas.openxmlformats.org/officeDocument/2006/customXml" ds:itemID="{866D634F-18E2-4F26-9393-EF2A06E55A5C}"/>
</file>

<file path=customXml/itemProps3.xml><?xml version="1.0" encoding="utf-8"?>
<ds:datastoreItem xmlns:ds="http://schemas.openxmlformats.org/officeDocument/2006/customXml" ds:itemID="{DC0C20B4-E61A-4F37-A11C-2D7D5B9030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</dc:creator>
  <cp:keywords/>
  <dc:description/>
  <cp:lastModifiedBy>Sandeep Mandala</cp:lastModifiedBy>
  <cp:revision/>
  <dcterms:created xsi:type="dcterms:W3CDTF">2013-01-06T10:51:47Z</dcterms:created>
  <dcterms:modified xsi:type="dcterms:W3CDTF">2026-01-19T16:30:34Z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0x010100B594524F4A13744F9C982579EA310C2C</vt:lpwstr>
  </property>
</Properties>
</file>